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Option A" sheetId="3" state="visible" r:id="rId5"/>
    <sheet name="Option B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<sst xmlns="http://schemas.openxmlformats.org/spreadsheetml/2006/main" count="215" uniqueCount="144">
  <si>
    <t xml:space="preserve">Jobs Tracker — summary against the investor deck</t>
  </si>
  <si>
    <t xml:space="preserve">Model figures are formulas from the option sheets; 'Deck' columns are the rounded figures printed on slides 14–16 (hardcoded for comparison).</t>
  </si>
  <si>
    <t xml:space="preserve">OPTION A — £500k: referrals + one trades salesperson</t>
  </si>
  <si>
    <t xml:space="preserve">M4</t>
  </si>
  <si>
    <t xml:space="preserve">M6</t>
  </si>
  <si>
    <t xml:space="preserve">M9</t>
  </si>
  <si>
    <t xml:space="preserve">M12</t>
  </si>
  <si>
    <t xml:space="preserve">Year 1</t>
  </si>
  <si>
    <t xml:space="preserve">Year 2</t>
  </si>
  <si>
    <t xml:space="preserve">Year 3</t>
  </si>
  <si>
    <t xml:space="preserve">New firms signed in month / average per month in year</t>
  </si>
  <si>
    <t xml:space="preserve">Firms on the platform at end</t>
  </si>
  <si>
    <t xml:space="preserve">Total MRR at end, £</t>
  </si>
  <si>
    <t xml:space="preserve">ARR run-rate at end, £</t>
  </si>
  <si>
    <t xml:space="preserve">Set-up fees in year, £</t>
  </si>
  <si>
    <t xml:space="preserve">Revenue in year incl. set-up, £</t>
  </si>
  <si>
    <t xml:space="preserve">Costs in year, £</t>
  </si>
  <si>
    <t xml:space="preserve">Cash at end, £</t>
  </si>
  <si>
    <t xml:space="preserve">Lowest cash balance in 36 months, £ / month</t>
  </si>
  <si>
    <t xml:space="preserve">← month index; negative means a seed round is needed before that month</t>
  </si>
  <si>
    <t xml:space="preserve">Months of runway on this round alone (first month cash &lt; 0)</t>
  </si>
  <si>
    <t xml:space="preserve">Deck (slides 14–16) shows:</t>
  </si>
  <si>
    <t xml:space="preserve">Firms on the platform</t>
  </si>
  <si>
    <t xml:space="preserve">MRR, £</t>
  </si>
  <si>
    <t xml:space="preserve">ARR run-rate, £</t>
  </si>
  <si>
    <t xml:space="preserve">Revenue in year, £</t>
  </si>
  <si>
    <t xml:space="preserve">OPTION B — £1m: plus national marketing and an onboarding hire</t>
  </si>
  <si>
    <t xml:space="preserve">Targets, not forecasts: there is no repeatable sales channel yet. Change the new-firms rows on the Assumptions sheet to test other ramps.</t>
  </si>
  <si>
    <t xml:space="preserve">Jobs Tracker — 36-month financial model</t>
  </si>
  <si>
    <t xml:space="preserve">Blue cells with yellow fill are inputs; everything else is a formula. Month 1 = November 2026 (Gaswise billing starts). Figures in £, excluding VAT.</t>
  </si>
  <si>
    <t xml:space="preserve">COMMERCIAL</t>
  </si>
  <si>
    <t xml:space="preserve">Model start (month 1)</t>
  </si>
  <si>
    <t xml:space="preserve">Gaswise billing and set-up fee start 1 November 2026</t>
  </si>
  <si>
    <t xml:space="preserve">Average new contract, £ per month at list</t>
  </si>
  <si>
    <t xml:space="preserve">Franck: target mix of 15–30, 30–50 and 50+ worker firms at £30/worker + £50/admin; CBES-sized firm is £1,100</t>
  </si>
  <si>
    <t xml:space="preserve">Set-up fee per new firm, £ one-off</t>
  </si>
  <si>
    <t xml:space="preserve">Rate card, October 2026; every new firm pays it</t>
  </si>
  <si>
    <t xml:space="preserve">Monthly logo churn</t>
  </si>
  <si>
    <t xml:space="preserve">Assumption: ~11% annual; no data yet (product live 3 months)</t>
  </si>
  <si>
    <t xml:space="preserve">Price uplift at each annual renewal</t>
  </si>
  <si>
    <t xml:space="preserve">Applied to the whole subscription base at months 13 and 25</t>
  </si>
  <si>
    <t xml:space="preserve">Existing MRR at month 0 (CBES net £440 + Gaswise £2,600), £</t>
  </si>
  <si>
    <t xml:space="preserve">CBES £1,100 list less 60% first-year pilot discount; Gaswise £2,600 at list</t>
  </si>
  <si>
    <t xml:space="preserve">CBES discount ends: month</t>
  </si>
  <si>
    <t xml:space="preserve">Initial term 1 Aug 2026 – 31 Jul 2027; list price from August 2027 = month 10</t>
  </si>
  <si>
    <t xml:space="preserve">CBES MRR step-up when discount ends, £</t>
  </si>
  <si>
    <t xml:space="preserve">£1,100 − £440</t>
  </si>
  <si>
    <t xml:space="preserve">Existing firms at month 0</t>
  </si>
  <si>
    <t xml:space="preserve">CBES and Gaswise</t>
  </si>
  <si>
    <t xml:space="preserve">Sales achievement vs plan (sensitivity)</t>
  </si>
  <si>
    <t xml:space="preserve">1 = the ramp as printed on the deck; 0.5 = half the new firms each month. Use it to see when cash runs out if sales come slower</t>
  </si>
  <si>
    <t xml:space="preserve">ADD-ONS (storage packs, SMS credits, AI quote-writing)</t>
  </si>
  <si>
    <t xml:space="preserve">Add-ons as share of subscription MRR, year 1</t>
  </si>
  <si>
    <t xml:space="preserve">Adoption ~30% of firms in year 1; AI at £5 per field worker, storage £20 per 50 GB</t>
  </si>
  <si>
    <t xml:space="preserve">Add-ons as share of subscription MRR, year 2</t>
  </si>
  <si>
    <t xml:space="preserve">Add-ons as share of subscription MRR, year 3</t>
  </si>
  <si>
    <t xml:space="preserve">Adoption ~60% by year 3</t>
  </si>
  <si>
    <t xml:space="preserve">HOSTING</t>
  </si>
  <si>
    <t xml:space="preserve">Azure hosting, £ per firm per month</t>
  </si>
  <si>
    <t xml:space="preserve">Franck: ~£2,000/month for ~50 organisations; multi-tenant, scales roughly linearly</t>
  </si>
  <si>
    <t xml:space="preserve">Azure hosting floor, £ per month</t>
  </si>
  <si>
    <t xml:space="preserve">Fixed cost of the environment at low customer counts</t>
  </si>
  <si>
    <t xml:space="preserve">ROUND</t>
  </si>
  <si>
    <t xml:space="preserve">Round received in month</t>
  </si>
  <si>
    <t xml:space="preserve">Model assumes close at month 1; shift to test a later close</t>
  </si>
  <si>
    <t xml:space="preserve">Option A round, £</t>
  </si>
  <si>
    <t xml:space="preserve">Deck slide 16</t>
  </si>
  <si>
    <t xml:space="preserve">Option B round, £</t>
  </si>
  <si>
    <t xml:space="preserve">TEAM AND SPEND — Option A (£ per year unless stated)</t>
  </si>
  <si>
    <t xml:space="preserve">Two developers, cost per year (both)</t>
  </si>
  <si>
    <t xml:space="preserve">£200k over 15 months on the deck</t>
  </si>
  <si>
    <t xml:space="preserve">Developers start month</t>
  </si>
  <si>
    <t xml:space="preserve">Within 60 days of close</t>
  </si>
  <si>
    <t xml:space="preserve">Sales hire start month</t>
  </si>
  <si>
    <t xml:space="preserve">Integrations budget (Sage API, telematics, stores), £ total</t>
  </si>
  <si>
    <t xml:space="preserve">Spread evenly over months 3–12</t>
  </si>
  <si>
    <t xml:space="preserve">Marketing, cost per year — Option A</t>
  </si>
  <si>
    <t xml:space="preserve">£50k over 15 months: CampaignBuilder outbound, trade bodies, events</t>
  </si>
  <si>
    <t xml:space="preserve">Marketing, cost per year — Option B</t>
  </si>
  <si>
    <t xml:space="preserve">£450k over 15 months: adds national paid search, content, events</t>
  </si>
  <si>
    <t xml:space="preserve">Marketing start month</t>
  </si>
  <si>
    <t xml:space="preserve">Onboarding / customer-success hire, cost per year — Option B only</t>
  </si>
  <si>
    <t xml:space="preserve">£50k over 15 months; starts month 4</t>
  </si>
  <si>
    <t xml:space="preserve">Onboarding hire start month (B)</t>
  </si>
  <si>
    <t xml:space="preserve">Legal, finance, contingency, £ per month — Option A</t>
  </si>
  <si>
    <t xml:space="preserve">£60k over 15 months less hosting (modelled separately)</t>
  </si>
  <si>
    <t xml:space="preserve">Legal, finance, contingency, £ per month — Option B</t>
  </si>
  <si>
    <t xml:space="preserve">£110k over 15 months less hosting</t>
  </si>
  <si>
    <t xml:space="preserve">Founder salary, £ per year</t>
  </si>
  <si>
    <t xml:space="preserve">Franck: £4,000 a month from close; £60k over the 15-month budget on deck slide 16</t>
  </si>
  <si>
    <t xml:space="preserve">SCALING WITH VOLUME (drives years 2–3; the deck says a seed round in year 2 funds them)</t>
  </si>
  <si>
    <t xml:space="preserve">New firms closed per salesperson per month, at full ramp</t>
  </si>
  <si>
    <t xml:space="preserve">Franck's own target for the first hire is 8–9 a month; extra salespeople are added when the ramp needs them</t>
  </si>
  <si>
    <t xml:space="preserve">Salesperson cost per year, each</t>
  </si>
  <si>
    <t xml:space="preserve">Same basis as the first hire</t>
  </si>
  <si>
    <t xml:space="preserve">Set-ups delivered per onboarding person per month</t>
  </si>
  <si>
    <t xml:space="preserve">Each set-up is about a week of work (RAMS templates, Sage mapping, data import, two training sessions)</t>
  </si>
  <si>
    <t xml:space="preserve">Set-ups the founder delivers himself per month</t>
  </si>
  <si>
    <t xml:space="preserve">Set to 0 once the founder is out of onboarding</t>
  </si>
  <si>
    <t xml:space="preserve">Onboarding person cost per year, each</t>
  </si>
  <si>
    <t xml:space="preserve">Support staff: firms served per person (from month 13)</t>
  </si>
  <si>
    <t xml:space="preserve">Ongoing support and account management once the base is large</t>
  </si>
  <si>
    <t xml:space="preserve">Support staff cost per year, each</t>
  </si>
  <si>
    <t xml:space="preserve">Additional developer from month 13, cost per year</t>
  </si>
  <si>
    <t xml:space="preserve">Third developer as the base grows</t>
  </si>
  <si>
    <t xml:space="preserve">Marketing spend per new firm from month 13, £</t>
  </si>
  <si>
    <t xml:space="preserve">Paid acquisition cost per firm once referrals and the first campaigns are exhausted; replaces the fixed year-1 budget</t>
  </si>
  <si>
    <t xml:space="preserve">NEW FIRMS SIGNED PER MONTH (inputs; the ramp on deck slides 14–15)</t>
  </si>
  <si>
    <t xml:space="preserve">Month</t>
  </si>
  <si>
    <t xml:space="preserve">Option A — referrals + one trades salesperson</t>
  </si>
  <si>
    <t xml:space="preserve">Option B — plus national marketing + onboarding hire</t>
  </si>
  <si>
    <t xml:space="preserve">Salesperson starts month 2, first closes month 4 on a 30–90 day cycle; 15%/month growth from month 7 tapering in year 2. Year 2–3 pace requires the second and third salespeople above.</t>
  </si>
  <si>
    <t xml:space="preserve">Legend: blue on yellow = input you can change; black = formula; green = value pulled from another sheet.</t>
  </si>
  <si>
    <t xml:space="preserve">Option A — monthly model, 36 months</t>
  </si>
  <si>
    <t xml:space="preserve">All cells are formulas driven by the Assumptions sheet. £ excluding VAT.</t>
  </si>
  <si>
    <t xml:space="preserve">Calendar month</t>
  </si>
  <si>
    <t xml:space="preserve">CUSTOMERS</t>
  </si>
  <si>
    <t xml:space="preserve">Firms at start of month</t>
  </si>
  <si>
    <t xml:space="preserve">New firms signed</t>
  </si>
  <si>
    <t xml:space="preserve">Firms churned</t>
  </si>
  <si>
    <t xml:space="preserve">Firms at end of month</t>
  </si>
  <si>
    <t xml:space="preserve">RECURRING REVENUE</t>
  </si>
  <si>
    <t xml:space="preserve">Subscription MRR, £</t>
  </si>
  <si>
    <t xml:space="preserve">Add-on MRR, £</t>
  </si>
  <si>
    <t xml:space="preserve">Total MRR, £</t>
  </si>
  <si>
    <t xml:space="preserve">ARR run-rate (MRR × 12), £</t>
  </si>
  <si>
    <t xml:space="preserve">ONE-OFF</t>
  </si>
  <si>
    <t xml:space="preserve">Set-up fees, £</t>
  </si>
  <si>
    <t xml:space="preserve">Total revenue in month, £</t>
  </si>
  <si>
    <t xml:space="preserve">COSTS</t>
  </si>
  <si>
    <t xml:space="preserve">Developers</t>
  </si>
  <si>
    <t xml:space="preserve">Sales (headcount scales with new firms)</t>
  </si>
  <si>
    <t xml:space="preserve">Integrations</t>
  </si>
  <si>
    <t xml:space="preserve">Marketing</t>
  </si>
  <si>
    <t xml:space="preserve">Onboarding and support (scales with volume)</t>
  </si>
  <si>
    <t xml:space="preserve">Azure hosting</t>
  </si>
  <si>
    <t xml:space="preserve">Legal, finance, contingency</t>
  </si>
  <si>
    <t xml:space="preserve">Founder salary</t>
  </si>
  <si>
    <t xml:space="preserve">Total costs, £</t>
  </si>
  <si>
    <t xml:space="preserve">CASH</t>
  </si>
  <si>
    <t xml:space="preserve">Net cash flow in month, £</t>
  </si>
  <si>
    <t xml:space="preserve">Round received, £</t>
  </si>
  <si>
    <t xml:space="preserve">Cash balance at end of month, £</t>
  </si>
  <si>
    <t xml:space="preserve">Option B — monthly model, 36 months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</si>
</sst>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;\(#,##0.0\);\-"/>
    <numFmt numFmtId="166" formatCode="#,##0;\(#,##0\);\-"/>
    <numFmt numFmtId="167" formatCode="\£#,##0;&quot;(£&quot;#,##0\);\-"/>
    <numFmt numFmtId="168" formatCode="mmm\ yyyy"/>
    <numFmt numFmtId="169" formatCode="0.0%"/>
    <numFmt numFmtId="170" formatCode="mmm\ 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430"/>
        <bgColor rgb="FF333300"/>
      </patternFill>
    </fill>
    <fill>
      <patternFill patternType="solid">
        <fgColor rgb="FFE9E4D8"/>
        <bgColor rgb="FFCC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9E4D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5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4" t="s">
        <v>2</v>
      </c>
      <c r="B4" s="5"/>
      <c r="C4" s="5"/>
      <c r="D4" s="5"/>
      <c r="E4" s="5"/>
      <c r="F4" s="5"/>
      <c r="G4" s="5"/>
      <c r="H4" s="5"/>
    </row>
    <row r="5" customFormat="false" ht="15" hidden="false" customHeight="false" outlineLevel="0" collapsed="false">
      <c r="A5" s="6"/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</row>
    <row r="6" customFormat="false" ht="15" hidden="false" customHeight="false" outlineLevel="0" collapsed="false">
      <c r="A6" s="2" t="s">
        <v>10</v>
      </c>
      <c r="B6" s="7" t="n">
        <f aca="false">'Option A'!E8</f>
        <v>2</v>
      </c>
      <c r="C6" s="7" t="n">
        <f aca="false">'Option A'!G8</f>
        <v>4</v>
      </c>
      <c r="D6" s="7" t="n">
        <f aca="false">'Option A'!J8</f>
        <v>6</v>
      </c>
      <c r="E6" s="7" t="n">
        <f aca="false">'Option A'!M8</f>
        <v>9</v>
      </c>
      <c r="F6" s="7" t="n">
        <f aca="false">AVERAGE('Option A'!B8:M8)</f>
        <v>4.08333333333333</v>
      </c>
      <c r="G6" s="7" t="n">
        <f aca="false">AVERAGE('Option A'!N8:Y8)</f>
        <v>12</v>
      </c>
      <c r="H6" s="7" t="n">
        <f aca="false">AVERAGE('Option A'!Z8:AK8)</f>
        <v>18</v>
      </c>
    </row>
    <row r="7" customFormat="false" ht="15" hidden="false" customHeight="false" outlineLevel="0" collapsed="false">
      <c r="A7" s="2" t="s">
        <v>11</v>
      </c>
      <c r="B7" s="8" t="n">
        <f aca="false">'Option A'!E10</f>
        <v>3.92119202</v>
      </c>
      <c r="C7" s="8" t="n">
        <f aca="false">'Option A'!G10</f>
        <v>10.813160298802</v>
      </c>
      <c r="D7" s="8" t="n">
        <f aca="false">'Option A'!J10</f>
        <v>26.3424986247673</v>
      </c>
      <c r="E7" s="8" t="n">
        <f aca="false">'Option A'!M10</f>
        <v>49.3408000731131</v>
      </c>
      <c r="F7" s="8" t="n">
        <f aca="false">'Option A'!M10</f>
        <v>49.3408000731131</v>
      </c>
      <c r="G7" s="8" t="n">
        <f aca="false">'Option A'!Y10</f>
        <v>180.767564243726</v>
      </c>
      <c r="H7" s="8" t="n">
        <f aca="false">'Option A'!AK10</f>
        <v>365.431336713484</v>
      </c>
    </row>
    <row r="8" customFormat="false" ht="15" hidden="false" customHeight="false" outlineLevel="0" collapsed="false">
      <c r="A8" s="2" t="s">
        <v>12</v>
      </c>
      <c r="B8" s="9" t="n">
        <f aca="false">'Option A'!E14</f>
        <v>5376.818226512</v>
      </c>
      <c r="C8" s="9" t="n">
        <f aca="false">'Option A'!G14</f>
        <v>13525.7845438044</v>
      </c>
      <c r="D8" s="9" t="n">
        <f aca="false">'Option A'!J14</f>
        <v>31898.9724670689</v>
      </c>
      <c r="E8" s="9" t="n">
        <f aca="false">'Option A'!M14</f>
        <v>59786.0522158245</v>
      </c>
      <c r="F8" s="9" t="n">
        <f aca="false">'Option A'!M14</f>
        <v>59786.0522158245</v>
      </c>
      <c r="G8" s="9" t="n">
        <f aca="false">'Option A'!Y14</f>
        <v>231944.871485048</v>
      </c>
      <c r="H8" s="9" t="n">
        <f aca="false">'Option A'!AK14</f>
        <v>489008.205486729</v>
      </c>
    </row>
    <row r="9" customFormat="false" ht="15" hidden="false" customHeight="false" outlineLevel="0" collapsed="false">
      <c r="A9" s="2" t="s">
        <v>13</v>
      </c>
      <c r="B9" s="9" t="n">
        <f aca="false">'Option A'!E15</f>
        <v>64521.818718144</v>
      </c>
      <c r="C9" s="9" t="n">
        <f aca="false">'Option A'!G15</f>
        <v>162309.414525653</v>
      </c>
      <c r="D9" s="9" t="n">
        <f aca="false">'Option A'!J15</f>
        <v>382787.669604827</v>
      </c>
      <c r="E9" s="9" t="n">
        <f aca="false">'Option A'!M15</f>
        <v>717432.626589894</v>
      </c>
      <c r="F9" s="9" t="n">
        <f aca="false">'Option A'!M15</f>
        <v>717432.626589894</v>
      </c>
      <c r="G9" s="9" t="n">
        <f aca="false">'Option A'!Y15</f>
        <v>2783338.45782057</v>
      </c>
      <c r="H9" s="9" t="n">
        <f aca="false">'Option A'!AK15</f>
        <v>5868098.46584075</v>
      </c>
    </row>
    <row r="10" customFormat="false" ht="15" hidden="false" customHeight="false" outlineLevel="0" collapsed="false">
      <c r="A10" s="2" t="s">
        <v>14</v>
      </c>
      <c r="B10" s="2"/>
      <c r="C10" s="2"/>
      <c r="D10" s="2"/>
      <c r="E10" s="2"/>
      <c r="F10" s="9" t="n">
        <f aca="false">SUM('Option A'!B17:M17)</f>
        <v>196000</v>
      </c>
      <c r="G10" s="9" t="n">
        <f aca="false">SUM('Option A'!N17:Y17)</f>
        <v>576000</v>
      </c>
      <c r="H10" s="9" t="n">
        <f aca="false">SUM('Option A'!Z17:AK17)</f>
        <v>864000</v>
      </c>
    </row>
    <row r="11" customFormat="false" ht="15" hidden="false" customHeight="false" outlineLevel="0" collapsed="false">
      <c r="A11" s="2" t="s">
        <v>15</v>
      </c>
      <c r="B11" s="2"/>
      <c r="C11" s="2"/>
      <c r="D11" s="2"/>
      <c r="E11" s="2"/>
      <c r="F11" s="9" t="n">
        <f aca="false">SUM('Option A'!B18:M18)</f>
        <v>459199.630633378</v>
      </c>
      <c r="G11" s="9" t="n">
        <f aca="false">SUM('Option A'!N18:Y18)</f>
        <v>2374313.80928358</v>
      </c>
      <c r="H11" s="9" t="n">
        <f aca="false">SUM('Option A'!Z18:AK18)</f>
        <v>5340252.78561071</v>
      </c>
    </row>
    <row r="12" customFormat="false" ht="15" hidden="false" customHeight="false" outlineLevel="0" collapsed="false">
      <c r="A12" s="2" t="s">
        <v>16</v>
      </c>
      <c r="B12" s="2"/>
      <c r="C12" s="2"/>
      <c r="D12" s="2"/>
      <c r="E12" s="2"/>
      <c r="F12" s="9" t="n">
        <f aca="false">SUM('Option A'!B28:M28)</f>
        <v>392430.546493728</v>
      </c>
      <c r="G12" s="9" t="n">
        <f aca="false">SUM('Option A'!N28:Y28)</f>
        <v>854216.680551038</v>
      </c>
      <c r="H12" s="9" t="n">
        <f aca="false">SUM('Option A'!Z28:AK28)</f>
        <v>1190731.46101976</v>
      </c>
    </row>
    <row r="13" customFormat="false" ht="15" hidden="false" customHeight="false" outlineLevel="0" collapsed="false">
      <c r="A13" s="2" t="s">
        <v>17</v>
      </c>
      <c r="B13" s="9" t="n">
        <f aca="false">'Option A'!E32</f>
        <v>435250.462241979</v>
      </c>
      <c r="C13" s="9" t="n">
        <f aca="false">'Option A'!G32</f>
        <v>414319.463496697</v>
      </c>
      <c r="D13" s="9" t="n">
        <f aca="false">'Option A'!J32</f>
        <v>441570.038864337</v>
      </c>
      <c r="E13" s="9" t="n">
        <f aca="false">'Option A'!M32</f>
        <v>566769.08413965</v>
      </c>
      <c r="F13" s="9" t="n">
        <f aca="false">'Option A'!M32</f>
        <v>566769.08413965</v>
      </c>
      <c r="G13" s="9" t="n">
        <f aca="false">'Option A'!Y32</f>
        <v>2086866.21287219</v>
      </c>
      <c r="H13" s="9" t="n">
        <f aca="false">'Option A'!AK32</f>
        <v>6236387.53746313</v>
      </c>
    </row>
    <row r="14" customFormat="false" ht="15" hidden="false" customHeight="false" outlineLevel="0" collapsed="false">
      <c r="A14" s="10" t="s">
        <v>18</v>
      </c>
      <c r="B14" s="11" t="n">
        <f aca="false">MIN('Option A'!B32:AK32)</f>
        <v>414319.463496697</v>
      </c>
      <c r="C14" s="12" t="n">
        <f aca="false">MATCH(B14,'Option A'!B32:AK32,0)</f>
        <v>6</v>
      </c>
      <c r="D14" s="13" t="s">
        <v>19</v>
      </c>
      <c r="E14" s="2"/>
      <c r="F14" s="2"/>
      <c r="G14" s="2"/>
      <c r="H14" s="2"/>
    </row>
    <row r="15" customFormat="false" ht="15" hidden="false" customHeight="false" outlineLevel="0" collapsed="false">
      <c r="A15" s="10" t="s">
        <v>20</v>
      </c>
      <c r="B15" s="12" t="str">
        <f aca="false">IFERROR(MATCH(TRUE(),INDEX('Option A'!B32:AK32&lt;0,0),0)-1,"&gt;36")</f>
        <v>&gt;36</v>
      </c>
      <c r="C15" s="2"/>
      <c r="D15" s="2"/>
      <c r="E15" s="2"/>
      <c r="F15" s="2"/>
      <c r="G15" s="2"/>
      <c r="H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</row>
    <row r="17" customFormat="false" ht="15" hidden="false" customHeight="false" outlineLevel="0" collapsed="false">
      <c r="A17" s="6" t="s">
        <v>21</v>
      </c>
      <c r="B17" s="6" t="s">
        <v>3</v>
      </c>
      <c r="C17" s="6" t="s">
        <v>4</v>
      </c>
      <c r="D17" s="6" t="s">
        <v>5</v>
      </c>
      <c r="E17" s="6" t="s">
        <v>6</v>
      </c>
      <c r="F17" s="6" t="s">
        <v>7</v>
      </c>
      <c r="G17" s="6" t="s">
        <v>8</v>
      </c>
      <c r="H17" s="6" t="s">
        <v>9</v>
      </c>
    </row>
    <row r="18" customFormat="false" ht="15" hidden="false" customHeight="false" outlineLevel="0" collapsed="false">
      <c r="A18" s="2" t="s">
        <v>22</v>
      </c>
      <c r="B18" s="14" t="n">
        <v>4</v>
      </c>
      <c r="C18" s="14" t="n">
        <v>11</v>
      </c>
      <c r="D18" s="14" t="n">
        <v>27</v>
      </c>
      <c r="E18" s="14" t="n">
        <v>51</v>
      </c>
      <c r="F18" s="14" t="n">
        <v>50</v>
      </c>
      <c r="G18" s="14" t="n">
        <v>180</v>
      </c>
      <c r="H18" s="14" t="n">
        <v>364</v>
      </c>
    </row>
    <row r="19" customFormat="false" ht="15" hidden="false" customHeight="false" outlineLevel="0" collapsed="false">
      <c r="A19" s="2" t="s">
        <v>23</v>
      </c>
      <c r="B19" s="15" t="n">
        <v>5000</v>
      </c>
      <c r="C19" s="15" t="n">
        <v>13000</v>
      </c>
      <c r="D19" s="15" t="n">
        <v>32000</v>
      </c>
      <c r="E19" s="15" t="n">
        <v>60000</v>
      </c>
      <c r="F19" s="2"/>
      <c r="G19" s="2"/>
      <c r="H19" s="2"/>
    </row>
    <row r="20" customFormat="false" ht="15" hidden="false" customHeight="false" outlineLevel="0" collapsed="false">
      <c r="A20" s="2" t="s">
        <v>24</v>
      </c>
      <c r="B20" s="2"/>
      <c r="C20" s="2"/>
      <c r="D20" s="2"/>
      <c r="E20" s="2"/>
      <c r="F20" s="15" t="n">
        <v>700000</v>
      </c>
      <c r="G20" s="15" t="n">
        <v>2800000</v>
      </c>
      <c r="H20" s="15" t="n">
        <v>6000000</v>
      </c>
    </row>
    <row r="21" customFormat="false" ht="15" hidden="false" customHeight="false" outlineLevel="0" collapsed="false">
      <c r="A21" s="2" t="s">
        <v>14</v>
      </c>
      <c r="B21" s="2"/>
      <c r="C21" s="2"/>
      <c r="D21" s="2"/>
      <c r="E21" s="2"/>
      <c r="F21" s="15" t="n">
        <v>195000</v>
      </c>
      <c r="G21" s="2"/>
      <c r="H21" s="2"/>
    </row>
    <row r="22" customFormat="false" ht="15" hidden="false" customHeight="false" outlineLevel="0" collapsed="false">
      <c r="A22" s="2" t="s">
        <v>25</v>
      </c>
      <c r="B22" s="2"/>
      <c r="C22" s="2"/>
      <c r="D22" s="2"/>
      <c r="E22" s="2"/>
      <c r="F22" s="15" t="n">
        <v>500000</v>
      </c>
      <c r="G22" s="15" t="n">
        <v>2500000</v>
      </c>
      <c r="H22" s="15" t="n">
        <v>5500000</v>
      </c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</row>
    <row r="24" customFormat="false" ht="15" hidden="false" customHeight="false" outlineLevel="0" collapsed="false">
      <c r="A24" s="4" t="s">
        <v>26</v>
      </c>
      <c r="B24" s="5"/>
      <c r="C24" s="5"/>
      <c r="D24" s="5"/>
      <c r="E24" s="5"/>
      <c r="F24" s="5"/>
      <c r="G24" s="5"/>
      <c r="H24" s="5"/>
    </row>
    <row r="25" customFormat="false" ht="15" hidden="false" customHeight="false" outlineLevel="0" collapsed="false">
      <c r="A25" s="6"/>
      <c r="B25" s="6" t="s">
        <v>3</v>
      </c>
      <c r="C25" s="6" t="s">
        <v>4</v>
      </c>
      <c r="D25" s="6" t="s">
        <v>5</v>
      </c>
      <c r="E25" s="6" t="s">
        <v>6</v>
      </c>
      <c r="F25" s="6" t="s">
        <v>7</v>
      </c>
      <c r="G25" s="6" t="s">
        <v>8</v>
      </c>
      <c r="H25" s="6" t="s">
        <v>9</v>
      </c>
    </row>
    <row r="26" customFormat="false" ht="15" hidden="false" customHeight="false" outlineLevel="0" collapsed="false">
      <c r="A26" s="2" t="s">
        <v>10</v>
      </c>
      <c r="B26" s="7" t="n">
        <f aca="false">'Option B'!E8</f>
        <v>3</v>
      </c>
      <c r="C26" s="7" t="n">
        <f aca="false">'Option B'!G8</f>
        <v>7</v>
      </c>
      <c r="D26" s="7" t="n">
        <f aca="false">'Option B'!J8</f>
        <v>11</v>
      </c>
      <c r="E26" s="7" t="n">
        <f aca="false">'Option B'!M8</f>
        <v>16</v>
      </c>
      <c r="F26" s="7" t="n">
        <f aca="false">AVERAGE('Option B'!B8:M8)</f>
        <v>7.16666666666667</v>
      </c>
      <c r="G26" s="7" t="n">
        <f aca="false">AVERAGE('Option B'!N8:Y8)</f>
        <v>24.1666666666667</v>
      </c>
      <c r="H26" s="7" t="n">
        <f aca="false">AVERAGE('Option B'!Z8:AK8)</f>
        <v>36.5</v>
      </c>
    </row>
    <row r="27" customFormat="false" ht="15" hidden="false" customHeight="false" outlineLevel="0" collapsed="false">
      <c r="A27" s="2" t="s">
        <v>11</v>
      </c>
      <c r="B27" s="8" t="n">
        <f aca="false">'Option B'!E10</f>
        <v>4.92119202</v>
      </c>
      <c r="C27" s="8" t="n">
        <f aca="false">'Option B'!G10</f>
        <v>16.773260298802</v>
      </c>
      <c r="D27" s="8" t="n">
        <f aca="false">'Option B'!J10</f>
        <v>44.0258776946673</v>
      </c>
      <c r="E27" s="8" t="n">
        <f aca="false">'Option B'!M10</f>
        <v>85.319565101258</v>
      </c>
      <c r="F27" s="8" t="n">
        <f aca="false">'Option B'!M10</f>
        <v>85.319565101258</v>
      </c>
      <c r="G27" s="8" t="n">
        <f aca="false">'Option B'!Y10</f>
        <v>351.734856836792</v>
      </c>
      <c r="H27" s="8" t="n">
        <f aca="false">'Option B'!AK10</f>
        <v>727.828070796663</v>
      </c>
    </row>
    <row r="28" customFormat="false" ht="15" hidden="false" customHeight="false" outlineLevel="0" collapsed="false">
      <c r="A28" s="2" t="s">
        <v>12</v>
      </c>
      <c r="B28" s="9" t="n">
        <f aca="false">'Option B'!E14</f>
        <v>6561.318226512</v>
      </c>
      <c r="C28" s="9" t="n">
        <f aca="false">'Option B'!G14</f>
        <v>20585.5229938044</v>
      </c>
      <c r="D28" s="9" t="n">
        <f aca="false">'Option B'!J14</f>
        <v>52844.9349753654</v>
      </c>
      <c r="E28" s="9" t="n">
        <f aca="false">'Option B'!M14</f>
        <v>102402.899391662</v>
      </c>
      <c r="F28" s="9" t="n">
        <f aca="false">'Option B'!M14</f>
        <v>102402.899391662</v>
      </c>
      <c r="G28" s="9" t="n">
        <f aca="false">'Option B'!Y14</f>
        <v>449700.586012528</v>
      </c>
      <c r="H28" s="9" t="n">
        <f aca="false">'Option B'!AK14</f>
        <v>972036.238270292</v>
      </c>
    </row>
    <row r="29" customFormat="false" ht="15" hidden="false" customHeight="false" outlineLevel="0" collapsed="false">
      <c r="A29" s="2" t="s">
        <v>13</v>
      </c>
      <c r="B29" s="9" t="n">
        <f aca="false">'Option B'!E15</f>
        <v>78735.818718144</v>
      </c>
      <c r="C29" s="9" t="n">
        <f aca="false">'Option B'!G15</f>
        <v>247026.275925653</v>
      </c>
      <c r="D29" s="9" t="n">
        <f aca="false">'Option B'!J15</f>
        <v>634139.219704385</v>
      </c>
      <c r="E29" s="9" t="n">
        <f aca="false">'Option B'!M15</f>
        <v>1228834.79269995</v>
      </c>
      <c r="F29" s="9" t="n">
        <f aca="false">'Option B'!M15</f>
        <v>1228834.79269995</v>
      </c>
      <c r="G29" s="9" t="n">
        <f aca="false">'Option B'!Y15</f>
        <v>5396407.03215034</v>
      </c>
      <c r="H29" s="9" t="n">
        <f aca="false">'Option B'!AK15</f>
        <v>11664434.8592435</v>
      </c>
    </row>
    <row r="30" customFormat="false" ht="15" hidden="false" customHeight="false" outlineLevel="0" collapsed="false">
      <c r="A30" s="2" t="s">
        <v>14</v>
      </c>
      <c r="B30" s="2"/>
      <c r="C30" s="2"/>
      <c r="D30" s="2"/>
      <c r="E30" s="2"/>
      <c r="F30" s="9" t="n">
        <f aca="false">SUM('Option B'!B17:M17)</f>
        <v>344000</v>
      </c>
      <c r="G30" s="9" t="n">
        <f aca="false">SUM('Option B'!N17:Y17)</f>
        <v>1160000</v>
      </c>
      <c r="H30" s="9" t="n">
        <f aca="false">SUM('Option B'!Z17:AK17)</f>
        <v>1752000</v>
      </c>
    </row>
    <row r="31" customFormat="false" ht="15" hidden="false" customHeight="false" outlineLevel="0" collapsed="false">
      <c r="A31" s="2" t="s">
        <v>15</v>
      </c>
      <c r="B31" s="2"/>
      <c r="C31" s="2"/>
      <c r="D31" s="2"/>
      <c r="E31" s="2"/>
      <c r="F31" s="9" t="n">
        <f aca="false">SUM('Option B'!B18:M18)</f>
        <v>770781.760225452</v>
      </c>
      <c r="G31" s="9" t="n">
        <f aca="false">SUM('Option B'!N18:Y18)</f>
        <v>4540832.72851172</v>
      </c>
      <c r="H31" s="9" t="n">
        <f aca="false">SUM('Option B'!Z18:AK18)</f>
        <v>10587593.939873</v>
      </c>
    </row>
    <row r="32" customFormat="false" ht="15" hidden="false" customHeight="false" outlineLevel="0" collapsed="false">
      <c r="A32" s="2" t="s">
        <v>16</v>
      </c>
      <c r="B32" s="2"/>
      <c r="C32" s="2"/>
      <c r="D32" s="2"/>
      <c r="E32" s="2"/>
      <c r="F32" s="9" t="n">
        <f aca="false">SUM('Option B'!B28:M28)</f>
        <v>745060.89672756</v>
      </c>
      <c r="G32" s="9" t="n">
        <f aca="false">SUM('Option B'!N28:Y28)</f>
        <v>1377995.44472729</v>
      </c>
      <c r="H32" s="9" t="n">
        <f aca="false">SUM('Option B'!Z28:AK28)</f>
        <v>2057004.20605224</v>
      </c>
    </row>
    <row r="33" customFormat="false" ht="15" hidden="false" customHeight="false" outlineLevel="0" collapsed="false">
      <c r="A33" s="2" t="s">
        <v>17</v>
      </c>
      <c r="B33" s="9" t="n">
        <f aca="false">'Option B'!E32</f>
        <v>871768.295575312</v>
      </c>
      <c r="C33" s="9" t="n">
        <f aca="false">'Option B'!G32</f>
        <v>818601.093201411</v>
      </c>
      <c r="D33" s="9" t="n">
        <f aca="false">'Option B'!J32</f>
        <v>835939.671914497</v>
      </c>
      <c r="E33" s="9" t="n">
        <f aca="false">'Option B'!M32</f>
        <v>1025720.86349789</v>
      </c>
      <c r="F33" s="9" t="n">
        <f aca="false">'Option B'!M32</f>
        <v>1025720.86349789</v>
      </c>
      <c r="G33" s="9" t="n">
        <f aca="false">'Option B'!Y32</f>
        <v>4188558.14728233</v>
      </c>
      <c r="H33" s="9" t="n">
        <f aca="false">'Option B'!AK32</f>
        <v>12719147.8811031</v>
      </c>
    </row>
    <row r="34" customFormat="false" ht="15" hidden="false" customHeight="false" outlineLevel="0" collapsed="false">
      <c r="A34" s="10" t="s">
        <v>18</v>
      </c>
      <c r="B34" s="11" t="n">
        <f aca="false">MIN('Option B'!B32:AK32)</f>
        <v>812972.539857445</v>
      </c>
      <c r="C34" s="12" t="n">
        <f aca="false">MATCH(B34,'Option B'!B32:AK32,0)</f>
        <v>7</v>
      </c>
      <c r="D34" s="13" t="s">
        <v>19</v>
      </c>
      <c r="E34" s="2"/>
      <c r="F34" s="2"/>
      <c r="G34" s="2"/>
      <c r="H34" s="2"/>
    </row>
    <row r="35" customFormat="false" ht="15" hidden="false" customHeight="false" outlineLevel="0" collapsed="false">
      <c r="A35" s="10" t="s">
        <v>20</v>
      </c>
      <c r="B35" s="12" t="str">
        <f aca="false">IFERROR(MATCH(TRUE(),INDEX('Option B'!B32:AK32&lt;0,0),0)-1,"&gt;36")</f>
        <v>&gt;36</v>
      </c>
      <c r="C35" s="2"/>
      <c r="D35" s="2"/>
      <c r="E35" s="2"/>
      <c r="F35" s="2"/>
      <c r="G35" s="2"/>
      <c r="H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</row>
    <row r="37" customFormat="false" ht="15" hidden="false" customHeight="false" outlineLevel="0" collapsed="false">
      <c r="A37" s="6" t="s">
        <v>21</v>
      </c>
      <c r="B37" s="6" t="s">
        <v>3</v>
      </c>
      <c r="C37" s="6" t="s">
        <v>4</v>
      </c>
      <c r="D37" s="6" t="s">
        <v>5</v>
      </c>
      <c r="E37" s="6" t="s">
        <v>6</v>
      </c>
      <c r="F37" s="6" t="s">
        <v>7</v>
      </c>
      <c r="G37" s="6" t="s">
        <v>8</v>
      </c>
      <c r="H37" s="6" t="s">
        <v>9</v>
      </c>
    </row>
    <row r="38" customFormat="false" ht="15" hidden="false" customHeight="false" outlineLevel="0" collapsed="false">
      <c r="A38" s="2" t="s">
        <v>22</v>
      </c>
      <c r="B38" s="14" t="n">
        <v>5</v>
      </c>
      <c r="C38" s="14" t="n">
        <v>17</v>
      </c>
      <c r="D38" s="14" t="n">
        <v>45</v>
      </c>
      <c r="E38" s="14" t="n">
        <v>88</v>
      </c>
      <c r="F38" s="14" t="n">
        <v>85</v>
      </c>
      <c r="G38" s="14" t="n">
        <v>348</v>
      </c>
      <c r="H38" s="14" t="n">
        <v>718</v>
      </c>
    </row>
    <row r="39" customFormat="false" ht="15" hidden="false" customHeight="false" outlineLevel="0" collapsed="false">
      <c r="A39" s="2" t="s">
        <v>23</v>
      </c>
      <c r="B39" s="15" t="n">
        <v>7000</v>
      </c>
      <c r="C39" s="15" t="n">
        <v>20000</v>
      </c>
      <c r="D39" s="15" t="n">
        <v>53000</v>
      </c>
      <c r="E39" s="15" t="n">
        <v>100000</v>
      </c>
      <c r="F39" s="2"/>
      <c r="G39" s="2"/>
      <c r="H39" s="2"/>
    </row>
    <row r="40" customFormat="false" ht="15" hidden="false" customHeight="false" outlineLevel="0" collapsed="false">
      <c r="A40" s="2" t="s">
        <v>24</v>
      </c>
      <c r="B40" s="2"/>
      <c r="C40" s="2"/>
      <c r="D40" s="2"/>
      <c r="E40" s="2"/>
      <c r="F40" s="15" t="n">
        <v>1200000</v>
      </c>
      <c r="G40" s="15" t="n">
        <v>5400000</v>
      </c>
      <c r="H40" s="15" t="n">
        <v>11800000</v>
      </c>
    </row>
    <row r="41" customFormat="false" ht="15" hidden="false" customHeight="false" outlineLevel="0" collapsed="false">
      <c r="A41" s="2" t="s">
        <v>14</v>
      </c>
      <c r="B41" s="2"/>
      <c r="C41" s="2"/>
      <c r="D41" s="2"/>
      <c r="E41" s="2"/>
      <c r="F41" s="15" t="n">
        <v>345000</v>
      </c>
      <c r="G41" s="2"/>
      <c r="H41" s="2"/>
    </row>
    <row r="42" customFormat="false" ht="15" hidden="false" customHeight="false" outlineLevel="0" collapsed="false">
      <c r="A42" s="2" t="s">
        <v>25</v>
      </c>
      <c r="B42" s="2"/>
      <c r="C42" s="2"/>
      <c r="D42" s="2"/>
      <c r="E42" s="2"/>
      <c r="F42" s="15" t="n">
        <v>800000</v>
      </c>
      <c r="G42" s="15" t="n">
        <v>4700000</v>
      </c>
      <c r="H42" s="15" t="n">
        <v>10700000</v>
      </c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</row>
    <row r="44" customFormat="false" ht="15" hidden="false" customHeight="false" outlineLevel="0" collapsed="false">
      <c r="A44" s="3" t="s">
        <v>27</v>
      </c>
      <c r="B44" s="2"/>
      <c r="C44" s="2"/>
      <c r="D44" s="2"/>
      <c r="E44" s="2"/>
      <c r="F44" s="2"/>
      <c r="G44" s="2"/>
      <c r="H4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38" min="4" style="0" width="6"/>
  </cols>
  <sheetData>
    <row r="1" customFormat="false" ht="17.35" hidden="false" customHeight="false" outlineLevel="0" collapsed="false">
      <c r="A1" s="1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customFormat="false" ht="15" hidden="false" customHeight="false" outlineLevel="0" collapsed="false">
      <c r="A2" s="3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customFormat="false" ht="15" hidden="false" customHeight="false" outlineLevel="0" collapsed="false">
      <c r="A4" s="4" t="s">
        <v>30</v>
      </c>
      <c r="B4" s="5"/>
      <c r="C4" s="5"/>
      <c r="D4" s="5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customFormat="false" ht="15" hidden="false" customHeight="false" outlineLevel="0" collapsed="false">
      <c r="A5" s="2" t="s">
        <v>31</v>
      </c>
      <c r="B5" s="16" t="n">
        <v>46327</v>
      </c>
      <c r="C5" s="2"/>
      <c r="D5" s="13" t="s">
        <v>32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customFormat="false" ht="15" hidden="false" customHeight="false" outlineLevel="0" collapsed="false">
      <c r="A6" s="2" t="s">
        <v>33</v>
      </c>
      <c r="B6" s="17" t="n">
        <v>1150</v>
      </c>
      <c r="C6" s="2"/>
      <c r="D6" s="13" t="s">
        <v>34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customFormat="false" ht="15" hidden="false" customHeight="false" outlineLevel="0" collapsed="false">
      <c r="A7" s="2" t="s">
        <v>35</v>
      </c>
      <c r="B7" s="17" t="n">
        <v>4000</v>
      </c>
      <c r="C7" s="2"/>
      <c r="D7" s="13" t="s">
        <v>36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customFormat="false" ht="15" hidden="false" customHeight="false" outlineLevel="0" collapsed="false">
      <c r="A8" s="2" t="s">
        <v>37</v>
      </c>
      <c r="B8" s="18" t="n">
        <v>0.01</v>
      </c>
      <c r="C8" s="2"/>
      <c r="D8" s="13" t="s">
        <v>38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customFormat="false" ht="15" hidden="false" customHeight="false" outlineLevel="0" collapsed="false">
      <c r="A9" s="2" t="s">
        <v>39</v>
      </c>
      <c r="B9" s="18" t="n">
        <v>0.03</v>
      </c>
      <c r="C9" s="2"/>
      <c r="D9" s="13" t="s">
        <v>40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customFormat="false" ht="15" hidden="false" customHeight="false" outlineLevel="0" collapsed="false">
      <c r="A10" s="2" t="s">
        <v>41</v>
      </c>
      <c r="B10" s="17" t="n">
        <v>3040</v>
      </c>
      <c r="C10" s="2"/>
      <c r="D10" s="13" t="s">
        <v>42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customFormat="false" ht="15" hidden="false" customHeight="false" outlineLevel="0" collapsed="false">
      <c r="A11" s="2" t="s">
        <v>43</v>
      </c>
      <c r="B11" s="19" t="n">
        <v>10</v>
      </c>
      <c r="C11" s="2"/>
      <c r="D11" s="13" t="s">
        <v>44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customFormat="false" ht="15" hidden="false" customHeight="false" outlineLevel="0" collapsed="false">
      <c r="A12" s="2" t="s">
        <v>45</v>
      </c>
      <c r="B12" s="19" t="n">
        <v>660</v>
      </c>
      <c r="C12" s="2"/>
      <c r="D12" s="13" t="s">
        <v>46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customFormat="false" ht="15" hidden="false" customHeight="false" outlineLevel="0" collapsed="false">
      <c r="A13" s="2" t="s">
        <v>47</v>
      </c>
      <c r="B13" s="19" t="n">
        <v>2</v>
      </c>
      <c r="C13" s="2"/>
      <c r="D13" s="13" t="s">
        <v>48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customFormat="false" ht="15" hidden="false" customHeight="false" outlineLevel="0" collapsed="false">
      <c r="A14" s="2" t="s">
        <v>49</v>
      </c>
      <c r="B14" s="18" t="n">
        <v>1</v>
      </c>
      <c r="C14" s="2"/>
      <c r="D14" s="13" t="s">
        <v>50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customFormat="false" ht="15" hidden="false" customHeight="false" outlineLevel="0" collapsed="false">
      <c r="A15" s="4" t="s">
        <v>51</v>
      </c>
      <c r="B15" s="5"/>
      <c r="C15" s="5"/>
      <c r="D15" s="5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customFormat="false" ht="15" hidden="false" customHeight="false" outlineLevel="0" collapsed="false">
      <c r="A16" s="2" t="s">
        <v>52</v>
      </c>
      <c r="B16" s="18" t="n">
        <v>0.03</v>
      </c>
      <c r="C16" s="2"/>
      <c r="D16" s="13" t="s">
        <v>53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customFormat="false" ht="15" hidden="false" customHeight="false" outlineLevel="0" collapsed="false">
      <c r="A17" s="2" t="s">
        <v>54</v>
      </c>
      <c r="B17" s="18" t="n">
        <v>0.1</v>
      </c>
      <c r="C17" s="2"/>
      <c r="D17" s="1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customFormat="false" ht="15" hidden="false" customHeight="false" outlineLevel="0" collapsed="false">
      <c r="A18" s="2" t="s">
        <v>55</v>
      </c>
      <c r="B18" s="18" t="n">
        <v>0.14</v>
      </c>
      <c r="C18" s="2"/>
      <c r="D18" s="13" t="s">
        <v>56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customFormat="false" ht="15" hidden="false" customHeight="false" outlineLevel="0" collapsed="false">
      <c r="A19" s="4" t="s">
        <v>57</v>
      </c>
      <c r="B19" s="5"/>
      <c r="C19" s="5"/>
      <c r="D19" s="5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 customFormat="false" ht="15" hidden="false" customHeight="false" outlineLevel="0" collapsed="false">
      <c r="A20" s="2" t="s">
        <v>58</v>
      </c>
      <c r="B20" s="19" t="n">
        <v>40</v>
      </c>
      <c r="C20" s="2"/>
      <c r="D20" s="13" t="s">
        <v>59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customFormat="false" ht="15" hidden="false" customHeight="false" outlineLevel="0" collapsed="false">
      <c r="A21" s="2" t="s">
        <v>60</v>
      </c>
      <c r="B21" s="19" t="n">
        <v>500</v>
      </c>
      <c r="C21" s="2"/>
      <c r="D21" s="13" t="s">
        <v>61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customFormat="false" ht="15" hidden="false" customHeight="false" outlineLevel="0" collapsed="false">
      <c r="A22" s="4" t="s">
        <v>62</v>
      </c>
      <c r="B22" s="5"/>
      <c r="C22" s="5"/>
      <c r="D22" s="5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customFormat="false" ht="15" hidden="false" customHeight="false" outlineLevel="0" collapsed="false">
      <c r="A23" s="2" t="s">
        <v>63</v>
      </c>
      <c r="B23" s="19" t="n">
        <v>1</v>
      </c>
      <c r="C23" s="2"/>
      <c r="D23" s="13" t="s">
        <v>64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customFormat="false" ht="15" hidden="false" customHeight="false" outlineLevel="0" collapsed="false">
      <c r="A24" s="2" t="s">
        <v>65</v>
      </c>
      <c r="B24" s="17" t="n">
        <v>500000</v>
      </c>
      <c r="C24" s="2"/>
      <c r="D24" s="13" t="s">
        <v>66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customFormat="false" ht="15" hidden="false" customHeight="false" outlineLevel="0" collapsed="false">
      <c r="A25" s="2" t="s">
        <v>67</v>
      </c>
      <c r="B25" s="17" t="n">
        <v>1000000</v>
      </c>
      <c r="C25" s="2"/>
      <c r="D25" s="13" t="s">
        <v>66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customFormat="false" ht="15" hidden="false" customHeight="false" outlineLevel="0" collapsed="false">
      <c r="A26" s="4" t="s">
        <v>68</v>
      </c>
      <c r="B26" s="5"/>
      <c r="C26" s="5"/>
      <c r="D26" s="5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customFormat="false" ht="15" hidden="false" customHeight="false" outlineLevel="0" collapsed="false">
      <c r="A27" s="2" t="s">
        <v>69</v>
      </c>
      <c r="B27" s="17" t="n">
        <v>160000</v>
      </c>
      <c r="C27" s="2"/>
      <c r="D27" s="13" t="s">
        <v>70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customFormat="false" ht="15" hidden="false" customHeight="false" outlineLevel="0" collapsed="false">
      <c r="A28" s="2" t="s">
        <v>71</v>
      </c>
      <c r="B28" s="19" t="n">
        <v>3</v>
      </c>
      <c r="C28" s="2"/>
      <c r="D28" s="13" t="s">
        <v>72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customFormat="false" ht="15" hidden="false" customHeight="false" outlineLevel="0" collapsed="false">
      <c r="A29" s="2" t="s">
        <v>73</v>
      </c>
      <c r="B29" s="19" t="n">
        <v>2</v>
      </c>
      <c r="C29" s="2"/>
      <c r="D29" s="1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customFormat="false" ht="15" hidden="false" customHeight="false" outlineLevel="0" collapsed="false">
      <c r="A30" s="2" t="s">
        <v>74</v>
      </c>
      <c r="B30" s="17" t="n">
        <v>50000</v>
      </c>
      <c r="C30" s="2"/>
      <c r="D30" s="13" t="s">
        <v>75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customFormat="false" ht="15" hidden="false" customHeight="false" outlineLevel="0" collapsed="false">
      <c r="A31" s="2" t="s">
        <v>76</v>
      </c>
      <c r="B31" s="17" t="n">
        <v>40000</v>
      </c>
      <c r="C31" s="2"/>
      <c r="D31" s="13" t="s">
        <v>77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customFormat="false" ht="15" hidden="false" customHeight="false" outlineLevel="0" collapsed="false">
      <c r="A32" s="2" t="s">
        <v>78</v>
      </c>
      <c r="B32" s="17" t="n">
        <v>360000</v>
      </c>
      <c r="C32" s="2"/>
      <c r="D32" s="13" t="s">
        <v>79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customFormat="false" ht="15" hidden="false" customHeight="false" outlineLevel="0" collapsed="false">
      <c r="A33" s="2" t="s">
        <v>80</v>
      </c>
      <c r="B33" s="19" t="n">
        <v>3</v>
      </c>
      <c r="C33" s="2"/>
      <c r="D33" s="1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customFormat="false" ht="15" hidden="false" customHeight="false" outlineLevel="0" collapsed="false">
      <c r="A34" s="2" t="s">
        <v>81</v>
      </c>
      <c r="B34" s="17" t="n">
        <v>40000</v>
      </c>
      <c r="C34" s="2"/>
      <c r="D34" s="13" t="s">
        <v>82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customFormat="false" ht="15" hidden="false" customHeight="false" outlineLevel="0" collapsed="false">
      <c r="A35" s="2" t="s">
        <v>83</v>
      </c>
      <c r="B35" s="19" t="n">
        <v>4</v>
      </c>
      <c r="C35" s="2"/>
      <c r="D35" s="1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customFormat="false" ht="15" hidden="false" customHeight="false" outlineLevel="0" collapsed="false">
      <c r="A36" s="2" t="s">
        <v>84</v>
      </c>
      <c r="B36" s="17" t="n">
        <v>2500</v>
      </c>
      <c r="C36" s="2"/>
      <c r="D36" s="13" t="s">
        <v>85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customFormat="false" ht="15" hidden="false" customHeight="false" outlineLevel="0" collapsed="false">
      <c r="A37" s="2" t="s">
        <v>86</v>
      </c>
      <c r="B37" s="17" t="n">
        <v>5500</v>
      </c>
      <c r="C37" s="2"/>
      <c r="D37" s="13" t="s">
        <v>87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customFormat="false" ht="15" hidden="false" customHeight="false" outlineLevel="0" collapsed="false">
      <c r="A38" s="2" t="s">
        <v>88</v>
      </c>
      <c r="B38" s="17" t="n">
        <v>48000</v>
      </c>
      <c r="C38" s="2"/>
      <c r="D38" s="13" t="s">
        <v>89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customFormat="false" ht="15" hidden="false" customHeight="false" outlineLevel="0" collapsed="false">
      <c r="A39" s="4" t="s">
        <v>90</v>
      </c>
      <c r="B39" s="5"/>
      <c r="C39" s="5"/>
      <c r="D39" s="5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customFormat="false" ht="15" hidden="false" customHeight="false" outlineLevel="0" collapsed="false">
      <c r="A40" s="2" t="s">
        <v>91</v>
      </c>
      <c r="B40" s="19" t="n">
        <v>8</v>
      </c>
      <c r="C40" s="2"/>
      <c r="D40" s="13" t="s">
        <v>92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customFormat="false" ht="15" hidden="false" customHeight="false" outlineLevel="0" collapsed="false">
      <c r="A41" s="2" t="s">
        <v>93</v>
      </c>
      <c r="B41" s="17" t="n">
        <v>64000</v>
      </c>
      <c r="C41" s="2"/>
      <c r="D41" s="13" t="s">
        <v>94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customFormat="false" ht="15" hidden="false" customHeight="false" outlineLevel="0" collapsed="false">
      <c r="A42" s="2" t="s">
        <v>95</v>
      </c>
      <c r="B42" s="19" t="n">
        <v>6</v>
      </c>
      <c r="C42" s="2"/>
      <c r="D42" s="13" t="s">
        <v>96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customFormat="false" ht="15" hidden="false" customHeight="false" outlineLevel="0" collapsed="false">
      <c r="A43" s="2" t="s">
        <v>97</v>
      </c>
      <c r="B43" s="19" t="n">
        <v>3</v>
      </c>
      <c r="C43" s="2"/>
      <c r="D43" s="13" t="s">
        <v>98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customFormat="false" ht="15" hidden="false" customHeight="false" outlineLevel="0" collapsed="false">
      <c r="A44" s="2" t="s">
        <v>99</v>
      </c>
      <c r="B44" s="17" t="n">
        <v>40000</v>
      </c>
      <c r="C44" s="2"/>
      <c r="D44" s="1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customFormat="false" ht="15" hidden="false" customHeight="false" outlineLevel="0" collapsed="false">
      <c r="A45" s="2" t="s">
        <v>100</v>
      </c>
      <c r="B45" s="19" t="n">
        <v>100</v>
      </c>
      <c r="C45" s="2"/>
      <c r="D45" s="13" t="s">
        <v>101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customFormat="false" ht="15" hidden="false" customHeight="false" outlineLevel="0" collapsed="false">
      <c r="A46" s="2" t="s">
        <v>102</v>
      </c>
      <c r="B46" s="17" t="n">
        <v>40000</v>
      </c>
      <c r="C46" s="2"/>
      <c r="D46" s="1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customFormat="false" ht="15" hidden="false" customHeight="false" outlineLevel="0" collapsed="false">
      <c r="A47" s="2" t="s">
        <v>103</v>
      </c>
      <c r="B47" s="17" t="n">
        <v>80000</v>
      </c>
      <c r="C47" s="2"/>
      <c r="D47" s="13" t="s">
        <v>104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customFormat="false" ht="15" hidden="false" customHeight="false" outlineLevel="0" collapsed="false">
      <c r="A48" s="2" t="s">
        <v>105</v>
      </c>
      <c r="B48" s="17" t="n">
        <v>1500</v>
      </c>
      <c r="C48" s="2"/>
      <c r="D48" s="13" t="s">
        <v>106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customFormat="false" ht="15" hidden="false" customHeight="false" outlineLevel="0" collapsed="false">
      <c r="A50" s="4" t="s">
        <v>107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customFormat="false" ht="15" hidden="false" customHeight="false" outlineLevel="0" collapsed="false">
      <c r="A51" s="10" t="s">
        <v>108</v>
      </c>
      <c r="B51" s="2"/>
      <c r="C51" s="10" t="n">
        <v>1</v>
      </c>
      <c r="D51" s="10" t="n">
        <v>2</v>
      </c>
      <c r="E51" s="10" t="n">
        <v>3</v>
      </c>
      <c r="F51" s="10" t="n">
        <v>4</v>
      </c>
      <c r="G51" s="10" t="n">
        <v>5</v>
      </c>
      <c r="H51" s="10" t="n">
        <v>6</v>
      </c>
      <c r="I51" s="10" t="n">
        <v>7</v>
      </c>
      <c r="J51" s="10" t="n">
        <v>8</v>
      </c>
      <c r="K51" s="10" t="n">
        <v>9</v>
      </c>
      <c r="L51" s="10" t="n">
        <v>10</v>
      </c>
      <c r="M51" s="10" t="n">
        <v>11</v>
      </c>
      <c r="N51" s="10" t="n">
        <v>12</v>
      </c>
      <c r="O51" s="10" t="n">
        <v>13</v>
      </c>
      <c r="P51" s="10" t="n">
        <v>14</v>
      </c>
      <c r="Q51" s="10" t="n">
        <v>15</v>
      </c>
      <c r="R51" s="10" t="n">
        <v>16</v>
      </c>
      <c r="S51" s="10" t="n">
        <v>17</v>
      </c>
      <c r="T51" s="10" t="n">
        <v>18</v>
      </c>
      <c r="U51" s="10" t="n">
        <v>19</v>
      </c>
      <c r="V51" s="10" t="n">
        <v>20</v>
      </c>
      <c r="W51" s="10" t="n">
        <v>21</v>
      </c>
      <c r="X51" s="10" t="n">
        <v>22</v>
      </c>
      <c r="Y51" s="10" t="n">
        <v>23</v>
      </c>
      <c r="Z51" s="10" t="n">
        <v>24</v>
      </c>
      <c r="AA51" s="10" t="n">
        <v>25</v>
      </c>
      <c r="AB51" s="10" t="n">
        <v>26</v>
      </c>
      <c r="AC51" s="10" t="n">
        <v>27</v>
      </c>
      <c r="AD51" s="10" t="n">
        <v>28</v>
      </c>
      <c r="AE51" s="10" t="n">
        <v>29</v>
      </c>
      <c r="AF51" s="10" t="n">
        <v>30</v>
      </c>
      <c r="AG51" s="10" t="n">
        <v>31</v>
      </c>
      <c r="AH51" s="10" t="n">
        <v>32</v>
      </c>
      <c r="AI51" s="10" t="n">
        <v>33</v>
      </c>
      <c r="AJ51" s="10" t="n">
        <v>34</v>
      </c>
      <c r="AK51" s="10" t="n">
        <v>35</v>
      </c>
      <c r="AL51" s="10" t="n">
        <v>36</v>
      </c>
      <c r="AM51" s="2"/>
    </row>
    <row r="52" customFormat="false" ht="15" hidden="false" customHeight="false" outlineLevel="0" collapsed="false">
      <c r="A52" s="10" t="s">
        <v>109</v>
      </c>
      <c r="B52" s="2"/>
      <c r="C52" s="19" t="n">
        <v>0</v>
      </c>
      <c r="D52" s="19" t="n">
        <v>0</v>
      </c>
      <c r="E52" s="19" t="n">
        <v>0</v>
      </c>
      <c r="F52" s="19" t="n">
        <v>2</v>
      </c>
      <c r="G52" s="19" t="n">
        <v>3</v>
      </c>
      <c r="H52" s="19" t="n">
        <v>4</v>
      </c>
      <c r="I52" s="19" t="n">
        <v>5</v>
      </c>
      <c r="J52" s="19" t="n">
        <v>5</v>
      </c>
      <c r="K52" s="19" t="n">
        <v>6</v>
      </c>
      <c r="L52" s="19" t="n">
        <v>7</v>
      </c>
      <c r="M52" s="19" t="n">
        <v>8</v>
      </c>
      <c r="N52" s="19" t="n">
        <v>9</v>
      </c>
      <c r="O52" s="19" t="n">
        <v>9</v>
      </c>
      <c r="P52" s="19" t="n">
        <v>10</v>
      </c>
      <c r="Q52" s="19" t="n">
        <v>10</v>
      </c>
      <c r="R52" s="19" t="n">
        <v>11</v>
      </c>
      <c r="S52" s="19" t="n">
        <v>11</v>
      </c>
      <c r="T52" s="19" t="n">
        <v>12</v>
      </c>
      <c r="U52" s="19" t="n">
        <v>12</v>
      </c>
      <c r="V52" s="19" t="n">
        <v>13</v>
      </c>
      <c r="W52" s="19" t="n">
        <v>13</v>
      </c>
      <c r="X52" s="19" t="n">
        <v>14</v>
      </c>
      <c r="Y52" s="19" t="n">
        <v>14</v>
      </c>
      <c r="Z52" s="19" t="n">
        <v>15</v>
      </c>
      <c r="AA52" s="19" t="n">
        <v>15</v>
      </c>
      <c r="AB52" s="19" t="n">
        <v>16</v>
      </c>
      <c r="AC52" s="19" t="n">
        <v>16</v>
      </c>
      <c r="AD52" s="19" t="n">
        <v>17</v>
      </c>
      <c r="AE52" s="19" t="n">
        <v>17</v>
      </c>
      <c r="AF52" s="19" t="n">
        <v>18</v>
      </c>
      <c r="AG52" s="19" t="n">
        <v>18</v>
      </c>
      <c r="AH52" s="19" t="n">
        <v>19</v>
      </c>
      <c r="AI52" s="19" t="n">
        <v>19</v>
      </c>
      <c r="AJ52" s="19" t="n">
        <v>20</v>
      </c>
      <c r="AK52" s="19" t="n">
        <v>20</v>
      </c>
      <c r="AL52" s="19" t="n">
        <v>21</v>
      </c>
      <c r="AM52" s="2"/>
    </row>
    <row r="53" customFormat="false" ht="15" hidden="false" customHeight="false" outlineLevel="0" collapsed="false">
      <c r="A53" s="10" t="s">
        <v>110</v>
      </c>
      <c r="B53" s="2"/>
      <c r="C53" s="19" t="n">
        <v>0</v>
      </c>
      <c r="D53" s="19" t="n">
        <v>0</v>
      </c>
      <c r="E53" s="19" t="n">
        <v>0</v>
      </c>
      <c r="F53" s="19" t="n">
        <v>3</v>
      </c>
      <c r="G53" s="19" t="n">
        <v>5</v>
      </c>
      <c r="H53" s="19" t="n">
        <v>7</v>
      </c>
      <c r="I53" s="19" t="n">
        <v>8</v>
      </c>
      <c r="J53" s="19" t="n">
        <v>9</v>
      </c>
      <c r="K53" s="19" t="n">
        <v>11</v>
      </c>
      <c r="L53" s="19" t="n">
        <v>13</v>
      </c>
      <c r="M53" s="19" t="n">
        <v>14</v>
      </c>
      <c r="N53" s="19" t="n">
        <v>16</v>
      </c>
      <c r="O53" s="19" t="n">
        <v>17</v>
      </c>
      <c r="P53" s="19" t="n">
        <v>19</v>
      </c>
      <c r="Q53" s="19" t="n">
        <v>20</v>
      </c>
      <c r="R53" s="19" t="n">
        <v>22</v>
      </c>
      <c r="S53" s="19" t="n">
        <v>23</v>
      </c>
      <c r="T53" s="19" t="n">
        <v>24</v>
      </c>
      <c r="U53" s="19" t="n">
        <v>25</v>
      </c>
      <c r="V53" s="19" t="n">
        <v>26</v>
      </c>
      <c r="W53" s="19" t="n">
        <v>27</v>
      </c>
      <c r="X53" s="19" t="n">
        <v>28</v>
      </c>
      <c r="Y53" s="19" t="n">
        <v>29</v>
      </c>
      <c r="Z53" s="19" t="n">
        <v>30</v>
      </c>
      <c r="AA53" s="19" t="n">
        <v>31</v>
      </c>
      <c r="AB53" s="19" t="n">
        <v>32</v>
      </c>
      <c r="AC53" s="19" t="n">
        <v>33</v>
      </c>
      <c r="AD53" s="19" t="n">
        <v>34</v>
      </c>
      <c r="AE53" s="19" t="n">
        <v>35</v>
      </c>
      <c r="AF53" s="19" t="n">
        <v>36</v>
      </c>
      <c r="AG53" s="19" t="n">
        <v>37</v>
      </c>
      <c r="AH53" s="19" t="n">
        <v>38</v>
      </c>
      <c r="AI53" s="19" t="n">
        <v>39</v>
      </c>
      <c r="AJ53" s="19" t="n">
        <v>40</v>
      </c>
      <c r="AK53" s="19" t="n">
        <v>41</v>
      </c>
      <c r="AL53" s="19" t="n">
        <v>42</v>
      </c>
      <c r="AM53" s="2"/>
    </row>
    <row r="54" customFormat="false" ht="15" hidden="false" customHeight="false" outlineLevel="0" collapsed="false">
      <c r="A54" s="13" t="s">
        <v>111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customFormat="false" ht="15" hidden="false" customHeight="false" outlineLevel="0" collapsed="false">
      <c r="A56" s="3" t="s">
        <v>112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7" min="2" style="0" width="12"/>
  </cols>
  <sheetData>
    <row r="1" customFormat="false" ht="17.35" hidden="false" customHeight="false" outlineLevel="0" collapsed="false">
      <c r="A1" s="1" t="s">
        <v>113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customFormat="false" ht="15" hidden="false" customHeight="false" outlineLevel="0" collapsed="false">
      <c r="A2" s="3" t="s">
        <v>114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customFormat="false" ht="15" hidden="false" customHeight="false" outlineLevel="0" collapsed="false">
      <c r="A4" s="10" t="s">
        <v>108</v>
      </c>
      <c r="B4" s="10" t="n">
        <v>1</v>
      </c>
      <c r="C4" s="10" t="n">
        <v>2</v>
      </c>
      <c r="D4" s="10" t="n">
        <v>3</v>
      </c>
      <c r="E4" s="10" t="n">
        <v>4</v>
      </c>
      <c r="F4" s="10" t="n">
        <v>5</v>
      </c>
      <c r="G4" s="10" t="n">
        <v>6</v>
      </c>
      <c r="H4" s="10" t="n">
        <v>7</v>
      </c>
      <c r="I4" s="10" t="n">
        <v>8</v>
      </c>
      <c r="J4" s="10" t="n">
        <v>9</v>
      </c>
      <c r="K4" s="10" t="n">
        <v>10</v>
      </c>
      <c r="L4" s="10" t="n">
        <v>11</v>
      </c>
      <c r="M4" s="10" t="n">
        <v>12</v>
      </c>
      <c r="N4" s="10" t="n">
        <v>13</v>
      </c>
      <c r="O4" s="10" t="n">
        <v>14</v>
      </c>
      <c r="P4" s="10" t="n">
        <v>15</v>
      </c>
      <c r="Q4" s="10" t="n">
        <v>16</v>
      </c>
      <c r="R4" s="10" t="n">
        <v>17</v>
      </c>
      <c r="S4" s="10" t="n">
        <v>18</v>
      </c>
      <c r="T4" s="10" t="n">
        <v>19</v>
      </c>
      <c r="U4" s="10" t="n">
        <v>20</v>
      </c>
      <c r="V4" s="10" t="n">
        <v>21</v>
      </c>
      <c r="W4" s="10" t="n">
        <v>22</v>
      </c>
      <c r="X4" s="10" t="n">
        <v>23</v>
      </c>
      <c r="Y4" s="10" t="n">
        <v>24</v>
      </c>
      <c r="Z4" s="10" t="n">
        <v>25</v>
      </c>
      <c r="AA4" s="10" t="n">
        <v>26</v>
      </c>
      <c r="AB4" s="10" t="n">
        <v>27</v>
      </c>
      <c r="AC4" s="10" t="n">
        <v>28</v>
      </c>
      <c r="AD4" s="10" t="n">
        <v>29</v>
      </c>
      <c r="AE4" s="10" t="n">
        <v>30</v>
      </c>
      <c r="AF4" s="10" t="n">
        <v>31</v>
      </c>
      <c r="AG4" s="10" t="n">
        <v>32</v>
      </c>
      <c r="AH4" s="10" t="n">
        <v>33</v>
      </c>
      <c r="AI4" s="10" t="n">
        <v>34</v>
      </c>
      <c r="AJ4" s="10" t="n">
        <v>35</v>
      </c>
      <c r="AK4" s="10" t="n">
        <v>36</v>
      </c>
      <c r="AL4" s="2"/>
    </row>
    <row r="5" customFormat="false" ht="15" hidden="false" customHeight="false" outlineLevel="0" collapsed="false">
      <c r="A5" s="10" t="s">
        <v>115</v>
      </c>
      <c r="B5" s="20" t="n">
        <f aca="false">EDATE(Assumptions!$B$5,B4-1)</f>
        <v>46327</v>
      </c>
      <c r="C5" s="20" t="n">
        <f aca="false">EDATE(Assumptions!$B$5,C4-1)</f>
        <v>46357</v>
      </c>
      <c r="D5" s="20" t="n">
        <f aca="false">EDATE(Assumptions!$B$5,D4-1)</f>
        <v>46388</v>
      </c>
      <c r="E5" s="20" t="n">
        <f aca="false">EDATE(Assumptions!$B$5,E4-1)</f>
        <v>46419</v>
      </c>
      <c r="F5" s="20" t="n">
        <f aca="false">EDATE(Assumptions!$B$5,F4-1)</f>
        <v>46447</v>
      </c>
      <c r="G5" s="20" t="n">
        <f aca="false">EDATE(Assumptions!$B$5,G4-1)</f>
        <v>46478</v>
      </c>
      <c r="H5" s="20" t="n">
        <f aca="false">EDATE(Assumptions!$B$5,H4-1)</f>
        <v>46508</v>
      </c>
      <c r="I5" s="20" t="n">
        <f aca="false">EDATE(Assumptions!$B$5,I4-1)</f>
        <v>46539</v>
      </c>
      <c r="J5" s="20" t="n">
        <f aca="false">EDATE(Assumptions!$B$5,J4-1)</f>
        <v>46569</v>
      </c>
      <c r="K5" s="20" t="n">
        <f aca="false">EDATE(Assumptions!$B$5,K4-1)</f>
        <v>46600</v>
      </c>
      <c r="L5" s="20" t="n">
        <f aca="false">EDATE(Assumptions!$B$5,L4-1)</f>
        <v>46631</v>
      </c>
      <c r="M5" s="20" t="n">
        <f aca="false">EDATE(Assumptions!$B$5,M4-1)</f>
        <v>46661</v>
      </c>
      <c r="N5" s="20" t="n">
        <f aca="false">EDATE(Assumptions!$B$5,N4-1)</f>
        <v>46692</v>
      </c>
      <c r="O5" s="20" t="n">
        <f aca="false">EDATE(Assumptions!$B$5,O4-1)</f>
        <v>46722</v>
      </c>
      <c r="P5" s="20" t="n">
        <f aca="false">EDATE(Assumptions!$B$5,P4-1)</f>
        <v>46753</v>
      </c>
      <c r="Q5" s="20" t="n">
        <f aca="false">EDATE(Assumptions!$B$5,Q4-1)</f>
        <v>46784</v>
      </c>
      <c r="R5" s="20" t="n">
        <f aca="false">EDATE(Assumptions!$B$5,R4-1)</f>
        <v>46813</v>
      </c>
      <c r="S5" s="20" t="n">
        <f aca="false">EDATE(Assumptions!$B$5,S4-1)</f>
        <v>46844</v>
      </c>
      <c r="T5" s="20" t="n">
        <f aca="false">EDATE(Assumptions!$B$5,T4-1)</f>
        <v>46874</v>
      </c>
      <c r="U5" s="20" t="n">
        <f aca="false">EDATE(Assumptions!$B$5,U4-1)</f>
        <v>46905</v>
      </c>
      <c r="V5" s="20" t="n">
        <f aca="false">EDATE(Assumptions!$B$5,V4-1)</f>
        <v>46935</v>
      </c>
      <c r="W5" s="20" t="n">
        <f aca="false">EDATE(Assumptions!$B$5,W4-1)</f>
        <v>46966</v>
      </c>
      <c r="X5" s="20" t="n">
        <f aca="false">EDATE(Assumptions!$B$5,X4-1)</f>
        <v>46997</v>
      </c>
      <c r="Y5" s="20" t="n">
        <f aca="false">EDATE(Assumptions!$B$5,Y4-1)</f>
        <v>47027</v>
      </c>
      <c r="Z5" s="20" t="n">
        <f aca="false">EDATE(Assumptions!$B$5,Z4-1)</f>
        <v>47058</v>
      </c>
      <c r="AA5" s="20" t="n">
        <f aca="false">EDATE(Assumptions!$B$5,AA4-1)</f>
        <v>47088</v>
      </c>
      <c r="AB5" s="20" t="n">
        <f aca="false">EDATE(Assumptions!$B$5,AB4-1)</f>
        <v>47119</v>
      </c>
      <c r="AC5" s="20" t="n">
        <f aca="false">EDATE(Assumptions!$B$5,AC4-1)</f>
        <v>47150</v>
      </c>
      <c r="AD5" s="20" t="n">
        <f aca="false">EDATE(Assumptions!$B$5,AD4-1)</f>
        <v>47178</v>
      </c>
      <c r="AE5" s="20" t="n">
        <f aca="false">EDATE(Assumptions!$B$5,AE4-1)</f>
        <v>47209</v>
      </c>
      <c r="AF5" s="20" t="n">
        <f aca="false">EDATE(Assumptions!$B$5,AF4-1)</f>
        <v>47239</v>
      </c>
      <c r="AG5" s="20" t="n">
        <f aca="false">EDATE(Assumptions!$B$5,AG4-1)</f>
        <v>47270</v>
      </c>
      <c r="AH5" s="20" t="n">
        <f aca="false">EDATE(Assumptions!$B$5,AH4-1)</f>
        <v>47300</v>
      </c>
      <c r="AI5" s="20" t="n">
        <f aca="false">EDATE(Assumptions!$B$5,AI4-1)</f>
        <v>47331</v>
      </c>
      <c r="AJ5" s="20" t="n">
        <f aca="false">EDATE(Assumptions!$B$5,AJ4-1)</f>
        <v>47362</v>
      </c>
      <c r="AK5" s="20" t="n">
        <f aca="false">EDATE(Assumptions!$B$5,AK4-1)</f>
        <v>47392</v>
      </c>
      <c r="AL5" s="2"/>
    </row>
    <row r="6" customFormat="false" ht="15" hidden="false" customHeight="false" outlineLevel="0" collapsed="false">
      <c r="A6" s="4" t="s">
        <v>116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</row>
    <row r="7" customFormat="false" ht="15" hidden="false" customHeight="false" outlineLevel="0" collapsed="false">
      <c r="A7" s="21" t="s">
        <v>117</v>
      </c>
      <c r="B7" s="22" t="n">
        <f aca="false">Assumptions!$B$13</f>
        <v>2</v>
      </c>
      <c r="C7" s="22" t="n">
        <f aca="false">B10</f>
        <v>1.98</v>
      </c>
      <c r="D7" s="22" t="n">
        <f aca="false">C10</f>
        <v>1.9602</v>
      </c>
      <c r="E7" s="22" t="n">
        <f aca="false">D10</f>
        <v>1.940598</v>
      </c>
      <c r="F7" s="22" t="n">
        <f aca="false">E10</f>
        <v>3.92119202</v>
      </c>
      <c r="G7" s="22" t="n">
        <f aca="false">F10</f>
        <v>6.8819800998</v>
      </c>
      <c r="H7" s="22" t="n">
        <f aca="false">G10</f>
        <v>10.813160298802</v>
      </c>
      <c r="I7" s="22" t="n">
        <f aca="false">H10</f>
        <v>15.705028695814</v>
      </c>
      <c r="J7" s="22" t="n">
        <f aca="false">I10</f>
        <v>20.5479784088558</v>
      </c>
      <c r="K7" s="22" t="n">
        <f aca="false">J10</f>
        <v>26.3424986247673</v>
      </c>
      <c r="L7" s="22" t="n">
        <f aca="false">K10</f>
        <v>33.0790736385196</v>
      </c>
      <c r="M7" s="22" t="n">
        <f aca="false">L10</f>
        <v>40.7482829021344</v>
      </c>
      <c r="N7" s="22" t="n">
        <f aca="false">M10</f>
        <v>49.3408000731131</v>
      </c>
      <c r="O7" s="22" t="n">
        <f aca="false">N10</f>
        <v>57.8473920723819</v>
      </c>
      <c r="P7" s="22" t="n">
        <f aca="false">O10</f>
        <v>67.2689181516581</v>
      </c>
      <c r="Q7" s="22" t="n">
        <f aca="false">P10</f>
        <v>76.5962289701415</v>
      </c>
      <c r="R7" s="22" t="n">
        <f aca="false">Q10</f>
        <v>86.8302666804401</v>
      </c>
      <c r="S7" s="22" t="n">
        <f aca="false">R10</f>
        <v>96.9619640136357</v>
      </c>
      <c r="T7" s="22" t="n">
        <f aca="false">S10</f>
        <v>107.992344373499</v>
      </c>
      <c r="U7" s="22" t="n">
        <f aca="false">T10</f>
        <v>118.912420929764</v>
      </c>
      <c r="V7" s="22" t="n">
        <f aca="false">U10</f>
        <v>130.723296720467</v>
      </c>
      <c r="W7" s="22" t="n">
        <f aca="false">V10</f>
        <v>142.416063753262</v>
      </c>
      <c r="X7" s="22" t="n">
        <f aca="false">W10</f>
        <v>154.991903115729</v>
      </c>
      <c r="Y7" s="22" t="n">
        <f aca="false">X10</f>
        <v>167.441984084572</v>
      </c>
      <c r="Z7" s="22" t="n">
        <f aca="false">Y10</f>
        <v>180.767564243726</v>
      </c>
      <c r="AA7" s="22" t="n">
        <f aca="false">Z10</f>
        <v>193.959888601289</v>
      </c>
      <c r="AB7" s="22" t="n">
        <f aca="false">AA10</f>
        <v>208.020289715276</v>
      </c>
      <c r="AC7" s="22" t="n">
        <f aca="false">AB10</f>
        <v>221.940086818124</v>
      </c>
      <c r="AD7" s="22" t="n">
        <f aca="false">AC10</f>
        <v>236.720685949942</v>
      </c>
      <c r="AE7" s="22" t="n">
        <f aca="false">AD10</f>
        <v>251.353479090443</v>
      </c>
      <c r="AF7" s="22" t="n">
        <f aca="false">AE10</f>
        <v>266.839944299538</v>
      </c>
      <c r="AG7" s="22" t="n">
        <f aca="false">AF10</f>
        <v>282.171544856543</v>
      </c>
      <c r="AH7" s="22" t="n">
        <f aca="false">AG10</f>
        <v>298.349829407978</v>
      </c>
      <c r="AI7" s="22" t="n">
        <f aca="false">AH10</f>
        <v>314.366331113898</v>
      </c>
      <c r="AJ7" s="22" t="n">
        <f aca="false">AI10</f>
        <v>331.222667802759</v>
      </c>
      <c r="AK7" s="22" t="n">
        <f aca="false">AJ10</f>
        <v>347.910441124731</v>
      </c>
      <c r="AL7" s="2"/>
    </row>
    <row r="8" customFormat="false" ht="15" hidden="false" customHeight="false" outlineLevel="0" collapsed="false">
      <c r="A8" s="21" t="s">
        <v>118</v>
      </c>
      <c r="B8" s="8" t="n">
        <f aca="false">ROUND(Assumptions!C52*Assumptions!$B$14,0)</f>
        <v>0</v>
      </c>
      <c r="C8" s="8" t="n">
        <f aca="false">ROUND(Assumptions!D52*Assumptions!$B$14,0)</f>
        <v>0</v>
      </c>
      <c r="D8" s="8" t="n">
        <f aca="false">ROUND(Assumptions!E52*Assumptions!$B$14,0)</f>
        <v>0</v>
      </c>
      <c r="E8" s="8" t="n">
        <f aca="false">ROUND(Assumptions!F52*Assumptions!$B$14,0)</f>
        <v>2</v>
      </c>
      <c r="F8" s="8" t="n">
        <f aca="false">ROUND(Assumptions!G52*Assumptions!$B$14,0)</f>
        <v>3</v>
      </c>
      <c r="G8" s="8" t="n">
        <f aca="false">ROUND(Assumptions!H52*Assumptions!$B$14,0)</f>
        <v>4</v>
      </c>
      <c r="H8" s="8" t="n">
        <f aca="false">ROUND(Assumptions!I52*Assumptions!$B$14,0)</f>
        <v>5</v>
      </c>
      <c r="I8" s="8" t="n">
        <f aca="false">ROUND(Assumptions!J52*Assumptions!$B$14,0)</f>
        <v>5</v>
      </c>
      <c r="J8" s="8" t="n">
        <f aca="false">ROUND(Assumptions!K52*Assumptions!$B$14,0)</f>
        <v>6</v>
      </c>
      <c r="K8" s="8" t="n">
        <f aca="false">ROUND(Assumptions!L52*Assumptions!$B$14,0)</f>
        <v>7</v>
      </c>
      <c r="L8" s="8" t="n">
        <f aca="false">ROUND(Assumptions!M52*Assumptions!$B$14,0)</f>
        <v>8</v>
      </c>
      <c r="M8" s="8" t="n">
        <f aca="false">ROUND(Assumptions!N52*Assumptions!$B$14,0)</f>
        <v>9</v>
      </c>
      <c r="N8" s="8" t="n">
        <f aca="false">ROUND(Assumptions!O52*Assumptions!$B$14,0)</f>
        <v>9</v>
      </c>
      <c r="O8" s="8" t="n">
        <f aca="false">ROUND(Assumptions!P52*Assumptions!$B$14,0)</f>
        <v>10</v>
      </c>
      <c r="P8" s="8" t="n">
        <f aca="false">ROUND(Assumptions!Q52*Assumptions!$B$14,0)</f>
        <v>10</v>
      </c>
      <c r="Q8" s="8" t="n">
        <f aca="false">ROUND(Assumptions!R52*Assumptions!$B$14,0)</f>
        <v>11</v>
      </c>
      <c r="R8" s="8" t="n">
        <f aca="false">ROUND(Assumptions!S52*Assumptions!$B$14,0)</f>
        <v>11</v>
      </c>
      <c r="S8" s="8" t="n">
        <f aca="false">ROUND(Assumptions!T52*Assumptions!$B$14,0)</f>
        <v>12</v>
      </c>
      <c r="T8" s="8" t="n">
        <f aca="false">ROUND(Assumptions!U52*Assumptions!$B$14,0)</f>
        <v>12</v>
      </c>
      <c r="U8" s="8" t="n">
        <f aca="false">ROUND(Assumptions!V52*Assumptions!$B$14,0)</f>
        <v>13</v>
      </c>
      <c r="V8" s="8" t="n">
        <f aca="false">ROUND(Assumptions!W52*Assumptions!$B$14,0)</f>
        <v>13</v>
      </c>
      <c r="W8" s="8" t="n">
        <f aca="false">ROUND(Assumptions!X52*Assumptions!$B$14,0)</f>
        <v>14</v>
      </c>
      <c r="X8" s="8" t="n">
        <f aca="false">ROUND(Assumptions!Y52*Assumptions!$B$14,0)</f>
        <v>14</v>
      </c>
      <c r="Y8" s="8" t="n">
        <f aca="false">ROUND(Assumptions!Z52*Assumptions!$B$14,0)</f>
        <v>15</v>
      </c>
      <c r="Z8" s="8" t="n">
        <f aca="false">ROUND(Assumptions!AA52*Assumptions!$B$14,0)</f>
        <v>15</v>
      </c>
      <c r="AA8" s="8" t="n">
        <f aca="false">ROUND(Assumptions!AB52*Assumptions!$B$14,0)</f>
        <v>16</v>
      </c>
      <c r="AB8" s="8" t="n">
        <f aca="false">ROUND(Assumptions!AC52*Assumptions!$B$14,0)</f>
        <v>16</v>
      </c>
      <c r="AC8" s="8" t="n">
        <f aca="false">ROUND(Assumptions!AD52*Assumptions!$B$14,0)</f>
        <v>17</v>
      </c>
      <c r="AD8" s="8" t="n">
        <f aca="false">ROUND(Assumptions!AE52*Assumptions!$B$14,0)</f>
        <v>17</v>
      </c>
      <c r="AE8" s="8" t="n">
        <f aca="false">ROUND(Assumptions!AF52*Assumptions!$B$14,0)</f>
        <v>18</v>
      </c>
      <c r="AF8" s="8" t="n">
        <f aca="false">ROUND(Assumptions!AG52*Assumptions!$B$14,0)</f>
        <v>18</v>
      </c>
      <c r="AG8" s="8" t="n">
        <f aca="false">ROUND(Assumptions!AH52*Assumptions!$B$14,0)</f>
        <v>19</v>
      </c>
      <c r="AH8" s="8" t="n">
        <f aca="false">ROUND(Assumptions!AI52*Assumptions!$B$14,0)</f>
        <v>19</v>
      </c>
      <c r="AI8" s="8" t="n">
        <f aca="false">ROUND(Assumptions!AJ52*Assumptions!$B$14,0)</f>
        <v>20</v>
      </c>
      <c r="AJ8" s="8" t="n">
        <f aca="false">ROUND(Assumptions!AK52*Assumptions!$B$14,0)</f>
        <v>20</v>
      </c>
      <c r="AK8" s="8" t="n">
        <f aca="false">ROUND(Assumptions!AL52*Assumptions!$B$14,0)</f>
        <v>21</v>
      </c>
      <c r="AL8" s="2"/>
    </row>
    <row r="9" customFormat="false" ht="15" hidden="false" customHeight="false" outlineLevel="0" collapsed="false">
      <c r="A9" s="21" t="s">
        <v>119</v>
      </c>
      <c r="B9" s="22" t="n">
        <f aca="false">B7*Assumptions!$B$8</f>
        <v>0.02</v>
      </c>
      <c r="C9" s="22" t="n">
        <f aca="false">C7*Assumptions!$B$8</f>
        <v>0.0198</v>
      </c>
      <c r="D9" s="22" t="n">
        <f aca="false">D7*Assumptions!$B$8</f>
        <v>0.019602</v>
      </c>
      <c r="E9" s="22" t="n">
        <f aca="false">E7*Assumptions!$B$8</f>
        <v>0.01940598</v>
      </c>
      <c r="F9" s="22" t="n">
        <f aca="false">F7*Assumptions!$B$8</f>
        <v>0.0392119202</v>
      </c>
      <c r="G9" s="22" t="n">
        <f aca="false">G7*Assumptions!$B$8</f>
        <v>0.068819800998</v>
      </c>
      <c r="H9" s="22" t="n">
        <f aca="false">H7*Assumptions!$B$8</f>
        <v>0.10813160298802</v>
      </c>
      <c r="I9" s="22" t="n">
        <f aca="false">I7*Assumptions!$B$8</f>
        <v>0.15705028695814</v>
      </c>
      <c r="J9" s="22" t="n">
        <f aca="false">J7*Assumptions!$B$8</f>
        <v>0.205479784088558</v>
      </c>
      <c r="K9" s="22" t="n">
        <f aca="false">K7*Assumptions!$B$8</f>
        <v>0.263424986247673</v>
      </c>
      <c r="L9" s="22" t="n">
        <f aca="false">L7*Assumptions!$B$8</f>
        <v>0.330790736385196</v>
      </c>
      <c r="M9" s="22" t="n">
        <f aca="false">M7*Assumptions!$B$8</f>
        <v>0.407482829021344</v>
      </c>
      <c r="N9" s="22" t="n">
        <f aca="false">N7*Assumptions!$B$8</f>
        <v>0.493408000731131</v>
      </c>
      <c r="O9" s="22" t="n">
        <f aca="false">O7*Assumptions!$B$8</f>
        <v>0.578473920723819</v>
      </c>
      <c r="P9" s="22" t="n">
        <f aca="false">P7*Assumptions!$B$8</f>
        <v>0.672689181516581</v>
      </c>
      <c r="Q9" s="22" t="n">
        <f aca="false">Q7*Assumptions!$B$8</f>
        <v>0.765962289701415</v>
      </c>
      <c r="R9" s="22" t="n">
        <f aca="false">R7*Assumptions!$B$8</f>
        <v>0.868302666804401</v>
      </c>
      <c r="S9" s="22" t="n">
        <f aca="false">S7*Assumptions!$B$8</f>
        <v>0.969619640136357</v>
      </c>
      <c r="T9" s="22" t="n">
        <f aca="false">T7*Assumptions!$B$8</f>
        <v>1.07992344373499</v>
      </c>
      <c r="U9" s="22" t="n">
        <f aca="false">U7*Assumptions!$B$8</f>
        <v>1.18912420929764</v>
      </c>
      <c r="V9" s="22" t="n">
        <f aca="false">V7*Assumptions!$B$8</f>
        <v>1.30723296720467</v>
      </c>
      <c r="W9" s="22" t="n">
        <f aca="false">W7*Assumptions!$B$8</f>
        <v>1.42416063753262</v>
      </c>
      <c r="X9" s="22" t="n">
        <f aca="false">X7*Assumptions!$B$8</f>
        <v>1.54991903115729</v>
      </c>
      <c r="Y9" s="22" t="n">
        <f aca="false">Y7*Assumptions!$B$8</f>
        <v>1.67441984084572</v>
      </c>
      <c r="Z9" s="22" t="n">
        <f aca="false">Z7*Assumptions!$B$8</f>
        <v>1.80767564243726</v>
      </c>
      <c r="AA9" s="22" t="n">
        <f aca="false">AA7*Assumptions!$B$8</f>
        <v>1.93959888601289</v>
      </c>
      <c r="AB9" s="22" t="n">
        <f aca="false">AB7*Assumptions!$B$8</f>
        <v>2.08020289715276</v>
      </c>
      <c r="AC9" s="22" t="n">
        <f aca="false">AC7*Assumptions!$B$8</f>
        <v>2.21940086818124</v>
      </c>
      <c r="AD9" s="22" t="n">
        <f aca="false">AD7*Assumptions!$B$8</f>
        <v>2.36720685949942</v>
      </c>
      <c r="AE9" s="22" t="n">
        <f aca="false">AE7*Assumptions!$B$8</f>
        <v>2.51353479090443</v>
      </c>
      <c r="AF9" s="22" t="n">
        <f aca="false">AF7*Assumptions!$B$8</f>
        <v>2.66839944299538</v>
      </c>
      <c r="AG9" s="22" t="n">
        <f aca="false">AG7*Assumptions!$B$8</f>
        <v>2.82171544856543</v>
      </c>
      <c r="AH9" s="22" t="n">
        <f aca="false">AH7*Assumptions!$B$8</f>
        <v>2.98349829407978</v>
      </c>
      <c r="AI9" s="22" t="n">
        <f aca="false">AI7*Assumptions!$B$8</f>
        <v>3.14366331113898</v>
      </c>
      <c r="AJ9" s="22" t="n">
        <f aca="false">AJ7*Assumptions!$B$8</f>
        <v>3.31222667802759</v>
      </c>
      <c r="AK9" s="22" t="n">
        <f aca="false">AK7*Assumptions!$B$8</f>
        <v>3.47910441124731</v>
      </c>
      <c r="AL9" s="2"/>
    </row>
    <row r="10" customFormat="false" ht="15" hidden="false" customHeight="false" outlineLevel="0" collapsed="false">
      <c r="A10" s="10" t="s">
        <v>120</v>
      </c>
      <c r="B10" s="23" t="n">
        <f aca="false">B7-B9+B8</f>
        <v>1.98</v>
      </c>
      <c r="C10" s="23" t="n">
        <f aca="false">C7-C9+C8</f>
        <v>1.9602</v>
      </c>
      <c r="D10" s="23" t="n">
        <f aca="false">D7-D9+D8</f>
        <v>1.940598</v>
      </c>
      <c r="E10" s="23" t="n">
        <f aca="false">E7-E9+E8</f>
        <v>3.92119202</v>
      </c>
      <c r="F10" s="23" t="n">
        <f aca="false">F7-F9+F8</f>
        <v>6.8819800998</v>
      </c>
      <c r="G10" s="23" t="n">
        <f aca="false">G7-G9+G8</f>
        <v>10.813160298802</v>
      </c>
      <c r="H10" s="23" t="n">
        <f aca="false">H7-H9+H8</f>
        <v>15.705028695814</v>
      </c>
      <c r="I10" s="23" t="n">
        <f aca="false">I7-I9+I8</f>
        <v>20.5479784088558</v>
      </c>
      <c r="J10" s="23" t="n">
        <f aca="false">J7-J9+J8</f>
        <v>26.3424986247673</v>
      </c>
      <c r="K10" s="23" t="n">
        <f aca="false">K7-K9+K8</f>
        <v>33.0790736385196</v>
      </c>
      <c r="L10" s="23" t="n">
        <f aca="false">L7-L9+L8</f>
        <v>40.7482829021344</v>
      </c>
      <c r="M10" s="23" t="n">
        <f aca="false">M7-M9+M8</f>
        <v>49.3408000731131</v>
      </c>
      <c r="N10" s="23" t="n">
        <f aca="false">N7-N9+N8</f>
        <v>57.8473920723819</v>
      </c>
      <c r="O10" s="23" t="n">
        <f aca="false">O7-O9+O8</f>
        <v>67.2689181516581</v>
      </c>
      <c r="P10" s="23" t="n">
        <f aca="false">P7-P9+P8</f>
        <v>76.5962289701415</v>
      </c>
      <c r="Q10" s="23" t="n">
        <f aca="false">Q7-Q9+Q8</f>
        <v>86.8302666804401</v>
      </c>
      <c r="R10" s="23" t="n">
        <f aca="false">R7-R9+R8</f>
        <v>96.9619640136357</v>
      </c>
      <c r="S10" s="23" t="n">
        <f aca="false">S7-S9+S8</f>
        <v>107.992344373499</v>
      </c>
      <c r="T10" s="23" t="n">
        <f aca="false">T7-T9+T8</f>
        <v>118.912420929764</v>
      </c>
      <c r="U10" s="23" t="n">
        <f aca="false">U7-U9+U8</f>
        <v>130.723296720467</v>
      </c>
      <c r="V10" s="23" t="n">
        <f aca="false">V7-V9+V8</f>
        <v>142.416063753262</v>
      </c>
      <c r="W10" s="23" t="n">
        <f aca="false">W7-W9+W8</f>
        <v>154.991903115729</v>
      </c>
      <c r="X10" s="23" t="n">
        <f aca="false">X7-X9+X8</f>
        <v>167.441984084572</v>
      </c>
      <c r="Y10" s="23" t="n">
        <f aca="false">Y7-Y9+Y8</f>
        <v>180.767564243726</v>
      </c>
      <c r="Z10" s="23" t="n">
        <f aca="false">Z7-Z9+Z8</f>
        <v>193.959888601289</v>
      </c>
      <c r="AA10" s="23" t="n">
        <f aca="false">AA7-AA9+AA8</f>
        <v>208.020289715276</v>
      </c>
      <c r="AB10" s="23" t="n">
        <f aca="false">AB7-AB9+AB8</f>
        <v>221.940086818124</v>
      </c>
      <c r="AC10" s="23" t="n">
        <f aca="false">AC7-AC9+AC8</f>
        <v>236.720685949942</v>
      </c>
      <c r="AD10" s="23" t="n">
        <f aca="false">AD7-AD9+AD8</f>
        <v>251.353479090443</v>
      </c>
      <c r="AE10" s="23" t="n">
        <f aca="false">AE7-AE9+AE8</f>
        <v>266.839944299538</v>
      </c>
      <c r="AF10" s="23" t="n">
        <f aca="false">AF7-AF9+AF8</f>
        <v>282.171544856543</v>
      </c>
      <c r="AG10" s="23" t="n">
        <f aca="false">AG7-AG9+AG8</f>
        <v>298.349829407978</v>
      </c>
      <c r="AH10" s="23" t="n">
        <f aca="false">AH7-AH9+AH8</f>
        <v>314.366331113898</v>
      </c>
      <c r="AI10" s="23" t="n">
        <f aca="false">AI7-AI9+AI8</f>
        <v>331.222667802759</v>
      </c>
      <c r="AJ10" s="23" t="n">
        <f aca="false">AJ7-AJ9+AJ8</f>
        <v>347.910441124731</v>
      </c>
      <c r="AK10" s="23" t="n">
        <f aca="false">AK7-AK9+AK8</f>
        <v>365.431336713484</v>
      </c>
      <c r="AL10" s="2"/>
    </row>
    <row r="11" customFormat="false" ht="15" hidden="false" customHeight="false" outlineLevel="0" collapsed="false">
      <c r="A11" s="4" t="s">
        <v>121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</row>
    <row r="12" customFormat="false" ht="15" hidden="false" customHeight="false" outlineLevel="0" collapsed="false">
      <c r="A12" s="21" t="s">
        <v>122</v>
      </c>
      <c r="B12" s="11" t="n">
        <f aca="false">(Assumptions!$B$10*(1-Assumptions!$B$8)+B8*Assumptions!$B$6+IF(B4=Assumptions!$B$11,Assumptions!$B$12,0))*IF(OR(B4=13,B4=25),1+Assumptions!$B$9,1)</f>
        <v>3009.6</v>
      </c>
      <c r="C12" s="11" t="n">
        <f aca="false">(B12*(1-Assumptions!$B$8)+C8*Assumptions!$B$6+IF(C4=Assumptions!$B$11,Assumptions!$B$12,0))*IF(OR(C4=13,C4=25),1+Assumptions!$B$9,1)</f>
        <v>2979.504</v>
      </c>
      <c r="D12" s="11" t="n">
        <f aca="false">(C12*(1-Assumptions!$B$8)+D8*Assumptions!$B$6+IF(D4=Assumptions!$B$11,Assumptions!$B$12,0))*IF(OR(D4=13,D4=25),1+Assumptions!$B$9,1)</f>
        <v>2949.70896</v>
      </c>
      <c r="E12" s="11" t="n">
        <f aca="false">(D12*(1-Assumptions!$B$8)+E8*Assumptions!$B$6+IF(E4=Assumptions!$B$11,Assumptions!$B$12,0))*IF(OR(E4=13,E4=25),1+Assumptions!$B$9,1)</f>
        <v>5220.2118704</v>
      </c>
      <c r="F12" s="11" t="n">
        <f aca="false">(E12*(1-Assumptions!$B$8)+F8*Assumptions!$B$6+IF(F4=Assumptions!$B$11,Assumptions!$B$12,0))*IF(OR(F4=13,F4=25),1+Assumptions!$B$9,1)</f>
        <v>8618.009751696</v>
      </c>
      <c r="G12" s="11" t="n">
        <f aca="false">(F12*(1-Assumptions!$B$8)+G8*Assumptions!$B$6+IF(G4=Assumptions!$B$11,Assumptions!$B$12,0))*IF(OR(G4=13,G4=25),1+Assumptions!$B$9,1)</f>
        <v>13131.829654179</v>
      </c>
      <c r="H12" s="11" t="n">
        <f aca="false">(G12*(1-Assumptions!$B$8)+H8*Assumptions!$B$6+IF(H4=Assumptions!$B$11,Assumptions!$B$12,0))*IF(OR(H4=13,H4=25),1+Assumptions!$B$9,1)</f>
        <v>18750.5113576373</v>
      </c>
      <c r="I12" s="11" t="n">
        <f aca="false">(H12*(1-Assumptions!$B$8)+I8*Assumptions!$B$6+IF(I4=Assumptions!$B$11,Assumptions!$B$12,0))*IF(OR(I4=13,I4=25),1+Assumptions!$B$9,1)</f>
        <v>24313.0062440609</v>
      </c>
      <c r="J12" s="11" t="n">
        <f aca="false">(I12*(1-Assumptions!$B$8)+J8*Assumptions!$B$6+IF(J4=Assumptions!$B$11,Assumptions!$B$12,0))*IF(OR(J4=13,J4=25),1+Assumptions!$B$9,1)</f>
        <v>30969.8761816203</v>
      </c>
      <c r="K12" s="11" t="n">
        <f aca="false">(J12*(1-Assumptions!$B$8)+K8*Assumptions!$B$6+IF(K4=Assumptions!$B$11,Assumptions!$B$12,0))*IF(OR(K4=13,K4=25),1+Assumptions!$B$9,1)</f>
        <v>39370.1774198041</v>
      </c>
      <c r="L12" s="11" t="n">
        <f aca="false">(K12*(1-Assumptions!$B$8)+L8*Assumptions!$B$6+IF(L4=Assumptions!$B$11,Assumptions!$B$12,0))*IF(OR(L4=13,L4=25),1+Assumptions!$B$9,1)</f>
        <v>48176.475645606</v>
      </c>
      <c r="M12" s="11" t="n">
        <f aca="false">(L12*(1-Assumptions!$B$8)+M8*Assumptions!$B$6+IF(M4=Assumptions!$B$11,Assumptions!$B$12,0))*IF(OR(M4=13,M4=25),1+Assumptions!$B$9,1)</f>
        <v>58044.71088915</v>
      </c>
      <c r="N12" s="11" t="n">
        <f aca="false">(M12*(1-Assumptions!$B$8)+N8*Assumptions!$B$6+IF(N4=Assumptions!$B$11,Assumptions!$B$12,0))*IF(OR(N4=13,N4=25),1+Assumptions!$B$9,1)</f>
        <v>69848.6916936662</v>
      </c>
      <c r="O12" s="11" t="n">
        <f aca="false">(N12*(1-Assumptions!$B$8)+O8*Assumptions!$B$6+IF(O4=Assumptions!$B$11,Assumptions!$B$12,0))*IF(OR(O4=13,O4=25),1+Assumptions!$B$9,1)</f>
        <v>80650.2047767296</v>
      </c>
      <c r="P12" s="11" t="n">
        <f aca="false">(O12*(1-Assumptions!$B$8)+P8*Assumptions!$B$6+IF(P4=Assumptions!$B$11,Assumptions!$B$12,0))*IF(OR(P4=13,P4=25),1+Assumptions!$B$9,1)</f>
        <v>91343.7027289623</v>
      </c>
      <c r="Q12" s="11" t="n">
        <f aca="false">(P12*(1-Assumptions!$B$8)+Q8*Assumptions!$B$6+IF(Q4=Assumptions!$B$11,Assumptions!$B$12,0))*IF(OR(Q4=13,Q4=25),1+Assumptions!$B$9,1)</f>
        <v>103080.265701673</v>
      </c>
      <c r="R12" s="11" t="n">
        <f aca="false">(Q12*(1-Assumptions!$B$8)+R8*Assumptions!$B$6+IF(R4=Assumptions!$B$11,Assumptions!$B$12,0))*IF(OR(R4=13,R4=25),1+Assumptions!$B$9,1)</f>
        <v>114699.463044656</v>
      </c>
      <c r="S12" s="11" t="n">
        <f aca="false">(R12*(1-Assumptions!$B$8)+S8*Assumptions!$B$6+IF(S4=Assumptions!$B$11,Assumptions!$B$12,0))*IF(OR(S4=13,S4=25),1+Assumptions!$B$9,1)</f>
        <v>127352.468414209</v>
      </c>
      <c r="T12" s="11" t="n">
        <f aca="false">(S12*(1-Assumptions!$B$8)+T8*Assumptions!$B$6+IF(T4=Assumptions!$B$11,Assumptions!$B$12,0))*IF(OR(T4=13,T4=25),1+Assumptions!$B$9,1)</f>
        <v>139878.943730067</v>
      </c>
      <c r="U12" s="11" t="n">
        <f aca="false">(T12*(1-Assumptions!$B$8)+U8*Assumptions!$B$6+IF(U4=Assumptions!$B$11,Assumptions!$B$12,0))*IF(OR(U4=13,U4=25),1+Assumptions!$B$9,1)</f>
        <v>153430.154292767</v>
      </c>
      <c r="V12" s="11" t="n">
        <f aca="false">(U12*(1-Assumptions!$B$8)+V8*Assumptions!$B$6+IF(V4=Assumptions!$B$11,Assumptions!$B$12,0))*IF(OR(V4=13,V4=25),1+Assumptions!$B$9,1)</f>
        <v>166845.852749839</v>
      </c>
      <c r="W12" s="11" t="n">
        <f aca="false">(V12*(1-Assumptions!$B$8)+W8*Assumptions!$B$6+IF(W4=Assumptions!$B$11,Assumptions!$B$12,0))*IF(OR(W4=13,W4=25),1+Assumptions!$B$9,1)</f>
        <v>181277.394222341</v>
      </c>
      <c r="X12" s="11" t="n">
        <f aca="false">(W12*(1-Assumptions!$B$8)+X8*Assumptions!$B$6+IF(X4=Assumptions!$B$11,Assumptions!$B$12,0))*IF(OR(X4=13,X4=25),1+Assumptions!$B$9,1)</f>
        <v>195564.620280117</v>
      </c>
      <c r="Y12" s="11" t="n">
        <f aca="false">(X12*(1-Assumptions!$B$8)+Y8*Assumptions!$B$6+IF(Y4=Assumptions!$B$11,Assumptions!$B$12,0))*IF(OR(Y4=13,Y4=25),1+Assumptions!$B$9,1)</f>
        <v>210858.974077316</v>
      </c>
      <c r="Z12" s="11" t="n">
        <f aca="false">(Y12*(1-Assumptions!$B$8)+Z8*Assumptions!$B$6+IF(Z4=Assumptions!$B$11,Assumptions!$B$12,0))*IF(OR(Z4=13,Z4=25),1+Assumptions!$B$9,1)</f>
        <v>232780.395866639</v>
      </c>
      <c r="AA12" s="11" t="n">
        <f aca="false">(Z12*(1-Assumptions!$B$8)+AA8*Assumptions!$B$6+IF(AA4=Assumptions!$B$11,Assumptions!$B$12,0))*IF(OR(AA4=13,AA4=25),1+Assumptions!$B$9,1)</f>
        <v>248852.591907973</v>
      </c>
      <c r="AB12" s="11" t="n">
        <f aca="false">(AA12*(1-Assumptions!$B$8)+AB8*Assumptions!$B$6+IF(AB4=Assumptions!$B$11,Assumptions!$B$12,0))*IF(OR(AB4=13,AB4=25),1+Assumptions!$B$9,1)</f>
        <v>264764.065988893</v>
      </c>
      <c r="AC12" s="11" t="n">
        <f aca="false">(AB12*(1-Assumptions!$B$8)+AC8*Assumptions!$B$6+IF(AC4=Assumptions!$B$11,Assumptions!$B$12,0))*IF(OR(AC4=13,AC4=25),1+Assumptions!$B$9,1)</f>
        <v>281666.425329004</v>
      </c>
      <c r="AD12" s="11" t="n">
        <f aca="false">(AC12*(1-Assumptions!$B$8)+AD8*Assumptions!$B$6+IF(AD4=Assumptions!$B$11,Assumptions!$B$12,0))*IF(OR(AD4=13,AD4=25),1+Assumptions!$B$9,1)</f>
        <v>298399.761075714</v>
      </c>
      <c r="AE12" s="11" t="n">
        <f aca="false">(AD12*(1-Assumptions!$B$8)+AE8*Assumptions!$B$6+IF(AE4=Assumptions!$B$11,Assumptions!$B$12,0))*IF(OR(AE4=13,AE4=25),1+Assumptions!$B$9,1)</f>
        <v>316115.763464957</v>
      </c>
      <c r="AF12" s="11" t="n">
        <f aca="false">(AE12*(1-Assumptions!$B$8)+AF8*Assumptions!$B$6+IF(AF4=Assumptions!$B$11,Assumptions!$B$12,0))*IF(OR(AF4=13,AF4=25),1+Assumptions!$B$9,1)</f>
        <v>333654.605830307</v>
      </c>
      <c r="AG12" s="11" t="n">
        <f aca="false">(AF12*(1-Assumptions!$B$8)+AG8*Assumptions!$B$6+IF(AG4=Assumptions!$B$11,Assumptions!$B$12,0))*IF(OR(AG4=13,AG4=25),1+Assumptions!$B$9,1)</f>
        <v>352168.059772004</v>
      </c>
      <c r="AH12" s="11" t="n">
        <f aca="false">(AG12*(1-Assumptions!$B$8)+AH8*Assumptions!$B$6+IF(AH4=Assumptions!$B$11,Assumptions!$B$12,0))*IF(OR(AH4=13,AH4=25),1+Assumptions!$B$9,1)</f>
        <v>370496.379174284</v>
      </c>
      <c r="AI12" s="11" t="n">
        <f aca="false">(AH12*(1-Assumptions!$B$8)+AI8*Assumptions!$B$6+IF(AI4=Assumptions!$B$11,Assumptions!$B$12,0))*IF(OR(AI4=13,AI4=25),1+Assumptions!$B$9,1)</f>
        <v>389791.415382541</v>
      </c>
      <c r="AJ12" s="11" t="n">
        <f aca="false">(AI12*(1-Assumptions!$B$8)+AJ8*Assumptions!$B$6+IF(AJ4=Assumptions!$B$11,Assumptions!$B$12,0))*IF(OR(AJ4=13,AJ4=25),1+Assumptions!$B$9,1)</f>
        <v>408893.501228716</v>
      </c>
      <c r="AK12" s="11" t="n">
        <f aca="false">(AJ12*(1-Assumptions!$B$8)+AK8*Assumptions!$B$6+IF(AK4=Assumptions!$B$11,Assumptions!$B$12,0))*IF(OR(AK4=13,AK4=25),1+Assumptions!$B$9,1)</f>
        <v>428954.566216429</v>
      </c>
      <c r="AL12" s="2"/>
    </row>
    <row r="13" customFormat="false" ht="15" hidden="false" customHeight="false" outlineLevel="0" collapsed="false">
      <c r="A13" s="21" t="s">
        <v>123</v>
      </c>
      <c r="B13" s="11" t="n">
        <f aca="false">B12*IF(B4&lt;=12,Assumptions!$B$16,IF(B4&lt;=24,Assumptions!$B$17,Assumptions!$B$18))</f>
        <v>90.288</v>
      </c>
      <c r="C13" s="11" t="n">
        <f aca="false">C12*IF(C4&lt;=12,Assumptions!$B$16,IF(C4&lt;=24,Assumptions!$B$17,Assumptions!$B$18))</f>
        <v>89.38512</v>
      </c>
      <c r="D13" s="11" t="n">
        <f aca="false">D12*IF(D4&lt;=12,Assumptions!$B$16,IF(D4&lt;=24,Assumptions!$B$17,Assumptions!$B$18))</f>
        <v>88.4912688</v>
      </c>
      <c r="E13" s="11" t="n">
        <f aca="false">E12*IF(E4&lt;=12,Assumptions!$B$16,IF(E4&lt;=24,Assumptions!$B$17,Assumptions!$B$18))</f>
        <v>156.606356112</v>
      </c>
      <c r="F13" s="11" t="n">
        <f aca="false">F12*IF(F4&lt;=12,Assumptions!$B$16,IF(F4&lt;=24,Assumptions!$B$17,Assumptions!$B$18))</f>
        <v>258.54029255088</v>
      </c>
      <c r="G13" s="11" t="n">
        <f aca="false">G12*IF(G4&lt;=12,Assumptions!$B$16,IF(G4&lt;=24,Assumptions!$B$17,Assumptions!$B$18))</f>
        <v>393.954889625371</v>
      </c>
      <c r="H13" s="11" t="n">
        <f aca="false">H12*IF(H4&lt;=12,Assumptions!$B$16,IF(H4&lt;=24,Assumptions!$B$17,Assumptions!$B$18))</f>
        <v>562.515340729118</v>
      </c>
      <c r="I13" s="11" t="n">
        <f aca="false">I12*IF(I4&lt;=12,Assumptions!$B$16,IF(I4&lt;=24,Assumptions!$B$17,Assumptions!$B$18))</f>
        <v>729.390187321826</v>
      </c>
      <c r="J13" s="11" t="n">
        <f aca="false">J12*IF(J4&lt;=12,Assumptions!$B$16,IF(J4&lt;=24,Assumptions!$B$17,Assumptions!$B$18))</f>
        <v>929.096285448608</v>
      </c>
      <c r="K13" s="11" t="n">
        <f aca="false">K12*IF(K4&lt;=12,Assumptions!$B$16,IF(K4&lt;=24,Assumptions!$B$17,Assumptions!$B$18))</f>
        <v>1181.10532259412</v>
      </c>
      <c r="L13" s="11" t="n">
        <f aca="false">L12*IF(L4&lt;=12,Assumptions!$B$16,IF(L4&lt;=24,Assumptions!$B$17,Assumptions!$B$18))</f>
        <v>1445.29426936818</v>
      </c>
      <c r="M13" s="11" t="n">
        <f aca="false">M12*IF(M4&lt;=12,Assumptions!$B$16,IF(M4&lt;=24,Assumptions!$B$17,Assumptions!$B$18))</f>
        <v>1741.3413266745</v>
      </c>
      <c r="N13" s="11" t="n">
        <f aca="false">N12*IF(N4&lt;=12,Assumptions!$B$16,IF(N4&lt;=24,Assumptions!$B$17,Assumptions!$B$18))</f>
        <v>6984.86916936662</v>
      </c>
      <c r="O13" s="11" t="n">
        <f aca="false">O12*IF(O4&lt;=12,Assumptions!$B$16,IF(O4&lt;=24,Assumptions!$B$17,Assumptions!$B$18))</f>
        <v>8065.02047767296</v>
      </c>
      <c r="P13" s="11" t="n">
        <f aca="false">P12*IF(P4&lt;=12,Assumptions!$B$16,IF(P4&lt;=24,Assumptions!$B$17,Assumptions!$B$18))</f>
        <v>9134.37027289623</v>
      </c>
      <c r="Q13" s="11" t="n">
        <f aca="false">Q12*IF(Q4&lt;=12,Assumptions!$B$16,IF(Q4&lt;=24,Assumptions!$B$17,Assumptions!$B$18))</f>
        <v>10308.0265701673</v>
      </c>
      <c r="R13" s="11" t="n">
        <f aca="false">R12*IF(R4&lt;=12,Assumptions!$B$16,IF(R4&lt;=24,Assumptions!$B$17,Assumptions!$B$18))</f>
        <v>11469.9463044656</v>
      </c>
      <c r="S13" s="11" t="n">
        <f aca="false">S12*IF(S4&lt;=12,Assumptions!$B$16,IF(S4&lt;=24,Assumptions!$B$17,Assumptions!$B$18))</f>
        <v>12735.2468414209</v>
      </c>
      <c r="T13" s="11" t="n">
        <f aca="false">T12*IF(T4&lt;=12,Assumptions!$B$16,IF(T4&lt;=24,Assumptions!$B$17,Assumptions!$B$18))</f>
        <v>13987.8943730067</v>
      </c>
      <c r="U13" s="11" t="n">
        <f aca="false">U12*IF(U4&lt;=12,Assumptions!$B$16,IF(U4&lt;=24,Assumptions!$B$17,Assumptions!$B$18))</f>
        <v>15343.0154292767</v>
      </c>
      <c r="V13" s="11" t="n">
        <f aca="false">V12*IF(V4&lt;=12,Assumptions!$B$16,IF(V4&lt;=24,Assumptions!$B$17,Assumptions!$B$18))</f>
        <v>16684.5852749839</v>
      </c>
      <c r="W13" s="11" t="n">
        <f aca="false">W12*IF(W4&lt;=12,Assumptions!$B$16,IF(W4&lt;=24,Assumptions!$B$17,Assumptions!$B$18))</f>
        <v>18127.7394222341</v>
      </c>
      <c r="X13" s="11" t="n">
        <f aca="false">X12*IF(X4&lt;=12,Assumptions!$B$16,IF(X4&lt;=24,Assumptions!$B$17,Assumptions!$B$18))</f>
        <v>19556.4620280117</v>
      </c>
      <c r="Y13" s="11" t="n">
        <f aca="false">Y12*IF(Y4&lt;=12,Assumptions!$B$16,IF(Y4&lt;=24,Assumptions!$B$17,Assumptions!$B$18))</f>
        <v>21085.8974077316</v>
      </c>
      <c r="Z13" s="11" t="n">
        <f aca="false">Z12*IF(Z4&lt;=12,Assumptions!$B$16,IF(Z4&lt;=24,Assumptions!$B$17,Assumptions!$B$18))</f>
        <v>32589.2554213295</v>
      </c>
      <c r="AA13" s="11" t="n">
        <f aca="false">AA12*IF(AA4&lt;=12,Assumptions!$B$16,IF(AA4&lt;=24,Assumptions!$B$17,Assumptions!$B$18))</f>
        <v>34839.3628671162</v>
      </c>
      <c r="AB13" s="11" t="n">
        <f aca="false">AB12*IF(AB4&lt;=12,Assumptions!$B$16,IF(AB4&lt;=24,Assumptions!$B$17,Assumptions!$B$18))</f>
        <v>37066.969238445</v>
      </c>
      <c r="AC13" s="11" t="n">
        <f aca="false">AC12*IF(AC4&lt;=12,Assumptions!$B$16,IF(AC4&lt;=24,Assumptions!$B$17,Assumptions!$B$18))</f>
        <v>39433.2995460606</v>
      </c>
      <c r="AD13" s="11" t="n">
        <f aca="false">AD12*IF(AD4&lt;=12,Assumptions!$B$16,IF(AD4&lt;=24,Assumptions!$B$17,Assumptions!$B$18))</f>
        <v>41775.9665506</v>
      </c>
      <c r="AE13" s="11" t="n">
        <f aca="false">AE12*IF(AE4&lt;=12,Assumptions!$B$16,IF(AE4&lt;=24,Assumptions!$B$17,Assumptions!$B$18))</f>
        <v>44256.206885094</v>
      </c>
      <c r="AF13" s="11" t="n">
        <f aca="false">AF12*IF(AF4&lt;=12,Assumptions!$B$16,IF(AF4&lt;=24,Assumptions!$B$17,Assumptions!$B$18))</f>
        <v>46711.644816243</v>
      </c>
      <c r="AG13" s="11" t="n">
        <f aca="false">AG12*IF(AG4&lt;=12,Assumptions!$B$16,IF(AG4&lt;=24,Assumptions!$B$17,Assumptions!$B$18))</f>
        <v>49303.5283680806</v>
      </c>
      <c r="AH13" s="11" t="n">
        <f aca="false">AH12*IF(AH4&lt;=12,Assumptions!$B$16,IF(AH4&lt;=24,Assumptions!$B$17,Assumptions!$B$18))</f>
        <v>51869.4930843998</v>
      </c>
      <c r="AI13" s="11" t="n">
        <f aca="false">AI12*IF(AI4&lt;=12,Assumptions!$B$16,IF(AI4&lt;=24,Assumptions!$B$17,Assumptions!$B$18))</f>
        <v>54570.7981535558</v>
      </c>
      <c r="AJ13" s="11" t="n">
        <f aca="false">AJ12*IF(AJ4&lt;=12,Assumptions!$B$16,IF(AJ4&lt;=24,Assumptions!$B$17,Assumptions!$B$18))</f>
        <v>57245.0901720202</v>
      </c>
      <c r="AK13" s="11" t="n">
        <f aca="false">AK12*IF(AK4&lt;=12,Assumptions!$B$16,IF(AK4&lt;=24,Assumptions!$B$17,Assumptions!$B$18))</f>
        <v>60053.6392703</v>
      </c>
      <c r="AL13" s="2"/>
    </row>
    <row r="14" customFormat="false" ht="15" hidden="false" customHeight="false" outlineLevel="0" collapsed="false">
      <c r="A14" s="10" t="s">
        <v>124</v>
      </c>
      <c r="B14" s="24" t="n">
        <f aca="false">B12+B13</f>
        <v>3099.888</v>
      </c>
      <c r="C14" s="24" t="n">
        <f aca="false">C12+C13</f>
        <v>3068.88912</v>
      </c>
      <c r="D14" s="24" t="n">
        <f aca="false">D12+D13</f>
        <v>3038.2002288</v>
      </c>
      <c r="E14" s="24" t="n">
        <f aca="false">E12+E13</f>
        <v>5376.818226512</v>
      </c>
      <c r="F14" s="24" t="n">
        <f aca="false">F12+F13</f>
        <v>8876.55004424688</v>
      </c>
      <c r="G14" s="24" t="n">
        <f aca="false">G12+G13</f>
        <v>13525.7845438044</v>
      </c>
      <c r="H14" s="24" t="n">
        <f aca="false">H12+H13</f>
        <v>19313.0266983664</v>
      </c>
      <c r="I14" s="24" t="n">
        <f aca="false">I12+I13</f>
        <v>25042.3964313827</v>
      </c>
      <c r="J14" s="24" t="n">
        <f aca="false">J12+J13</f>
        <v>31898.9724670689</v>
      </c>
      <c r="K14" s="24" t="n">
        <f aca="false">K12+K13</f>
        <v>40551.2827423982</v>
      </c>
      <c r="L14" s="24" t="n">
        <f aca="false">L12+L13</f>
        <v>49621.7699149742</v>
      </c>
      <c r="M14" s="24" t="n">
        <f aca="false">M12+M13</f>
        <v>59786.0522158245</v>
      </c>
      <c r="N14" s="24" t="n">
        <f aca="false">N12+N13</f>
        <v>76833.5608630328</v>
      </c>
      <c r="O14" s="24" t="n">
        <f aca="false">O12+O13</f>
        <v>88715.2252544025</v>
      </c>
      <c r="P14" s="24" t="n">
        <f aca="false">P12+P13</f>
        <v>100478.073001858</v>
      </c>
      <c r="Q14" s="24" t="n">
        <f aca="false">Q12+Q13</f>
        <v>113388.29227184</v>
      </c>
      <c r="R14" s="24" t="n">
        <f aca="false">R12+R13</f>
        <v>126169.409349122</v>
      </c>
      <c r="S14" s="24" t="n">
        <f aca="false">S12+S13</f>
        <v>140087.71525563</v>
      </c>
      <c r="T14" s="24" t="n">
        <f aca="false">T12+T13</f>
        <v>153866.838103074</v>
      </c>
      <c r="U14" s="24" t="n">
        <f aca="false">U12+U13</f>
        <v>168773.169722043</v>
      </c>
      <c r="V14" s="24" t="n">
        <f aca="false">V12+V13</f>
        <v>183530.438024823</v>
      </c>
      <c r="W14" s="24" t="n">
        <f aca="false">W12+W13</f>
        <v>199405.133644575</v>
      </c>
      <c r="X14" s="24" t="n">
        <f aca="false">X12+X13</f>
        <v>215121.082308129</v>
      </c>
      <c r="Y14" s="24" t="n">
        <f aca="false">Y12+Y13</f>
        <v>231944.871485048</v>
      </c>
      <c r="Z14" s="24" t="n">
        <f aca="false">Z12+Z13</f>
        <v>265369.651287969</v>
      </c>
      <c r="AA14" s="24" t="n">
        <f aca="false">AA12+AA13</f>
        <v>283691.954775089</v>
      </c>
      <c r="AB14" s="24" t="n">
        <f aca="false">AB12+AB13</f>
        <v>301831.035227338</v>
      </c>
      <c r="AC14" s="24" t="n">
        <f aca="false">AC12+AC13</f>
        <v>321099.724875065</v>
      </c>
      <c r="AD14" s="24" t="n">
        <f aca="false">AD12+AD13</f>
        <v>340175.727626314</v>
      </c>
      <c r="AE14" s="24" t="n">
        <f aca="false">AE12+AE13</f>
        <v>360371.970350051</v>
      </c>
      <c r="AF14" s="24" t="n">
        <f aca="false">AF12+AF13</f>
        <v>380366.25064655</v>
      </c>
      <c r="AG14" s="24" t="n">
        <f aca="false">AG12+AG13</f>
        <v>401471.588140085</v>
      </c>
      <c r="AH14" s="24" t="n">
        <f aca="false">AH12+AH13</f>
        <v>422365.872258684</v>
      </c>
      <c r="AI14" s="24" t="n">
        <f aca="false">AI12+AI13</f>
        <v>444362.213536097</v>
      </c>
      <c r="AJ14" s="24" t="n">
        <f aca="false">AJ12+AJ13</f>
        <v>466138.591400736</v>
      </c>
      <c r="AK14" s="24" t="n">
        <f aca="false">AK12+AK13</f>
        <v>489008.205486729</v>
      </c>
      <c r="AL14" s="2"/>
    </row>
    <row r="15" customFormat="false" ht="15" hidden="false" customHeight="false" outlineLevel="0" collapsed="false">
      <c r="A15" s="10" t="s">
        <v>125</v>
      </c>
      <c r="B15" s="11" t="n">
        <f aca="false">B14*12</f>
        <v>37198.656</v>
      </c>
      <c r="C15" s="11" t="n">
        <f aca="false">C14*12</f>
        <v>36826.66944</v>
      </c>
      <c r="D15" s="11" t="n">
        <f aca="false">D14*12</f>
        <v>36458.4027456</v>
      </c>
      <c r="E15" s="11" t="n">
        <f aca="false">E14*12</f>
        <v>64521.818718144</v>
      </c>
      <c r="F15" s="11" t="n">
        <f aca="false">F14*12</f>
        <v>106518.600530963</v>
      </c>
      <c r="G15" s="11" t="n">
        <f aca="false">G14*12</f>
        <v>162309.414525653</v>
      </c>
      <c r="H15" s="11" t="n">
        <f aca="false">H14*12</f>
        <v>231756.320380396</v>
      </c>
      <c r="I15" s="11" t="n">
        <f aca="false">I14*12</f>
        <v>300508.757176593</v>
      </c>
      <c r="J15" s="11" t="n">
        <f aca="false">J14*12</f>
        <v>382787.669604827</v>
      </c>
      <c r="K15" s="11" t="n">
        <f aca="false">K14*12</f>
        <v>486615.392908778</v>
      </c>
      <c r="L15" s="11" t="n">
        <f aca="false">L14*12</f>
        <v>595461.238979691</v>
      </c>
      <c r="M15" s="11" t="n">
        <f aca="false">M14*12</f>
        <v>717432.626589894</v>
      </c>
      <c r="N15" s="11" t="n">
        <f aca="false">N14*12</f>
        <v>922002.730356394</v>
      </c>
      <c r="O15" s="11" t="n">
        <f aca="false">O14*12</f>
        <v>1064582.70305283</v>
      </c>
      <c r="P15" s="11" t="n">
        <f aca="false">P14*12</f>
        <v>1205736.8760223</v>
      </c>
      <c r="Q15" s="11" t="n">
        <f aca="false">Q14*12</f>
        <v>1360659.50726208</v>
      </c>
      <c r="R15" s="11" t="n">
        <f aca="false">R14*12</f>
        <v>1514032.91218946</v>
      </c>
      <c r="S15" s="11" t="n">
        <f aca="false">S14*12</f>
        <v>1681052.58306756</v>
      </c>
      <c r="T15" s="11" t="n">
        <f aca="false">T14*12</f>
        <v>1846402.05723689</v>
      </c>
      <c r="U15" s="11" t="n">
        <f aca="false">U14*12</f>
        <v>2025278.03666452</v>
      </c>
      <c r="V15" s="11" t="n">
        <f aca="false">V14*12</f>
        <v>2202365.25629787</v>
      </c>
      <c r="W15" s="11" t="n">
        <f aca="false">W14*12</f>
        <v>2392861.6037349</v>
      </c>
      <c r="X15" s="11" t="n">
        <f aca="false">X14*12</f>
        <v>2581452.98769755</v>
      </c>
      <c r="Y15" s="11" t="n">
        <f aca="false">Y14*12</f>
        <v>2783338.45782057</v>
      </c>
      <c r="Z15" s="11" t="n">
        <f aca="false">Z14*12</f>
        <v>3184435.81545562</v>
      </c>
      <c r="AA15" s="11" t="n">
        <f aca="false">AA14*12</f>
        <v>3404303.45730107</v>
      </c>
      <c r="AB15" s="11" t="n">
        <f aca="false">AB14*12</f>
        <v>3621972.42272806</v>
      </c>
      <c r="AC15" s="11" t="n">
        <f aca="false">AC14*12</f>
        <v>3853196.69850078</v>
      </c>
      <c r="AD15" s="11" t="n">
        <f aca="false">AD14*12</f>
        <v>4082108.73151577</v>
      </c>
      <c r="AE15" s="11" t="n">
        <f aca="false">AE14*12</f>
        <v>4324463.64420061</v>
      </c>
      <c r="AF15" s="11" t="n">
        <f aca="false">AF14*12</f>
        <v>4564395.0077586</v>
      </c>
      <c r="AG15" s="11" t="n">
        <f aca="false">AG14*12</f>
        <v>4817659.05768102</v>
      </c>
      <c r="AH15" s="11" t="n">
        <f aca="false">AH14*12</f>
        <v>5068390.46710421</v>
      </c>
      <c r="AI15" s="11" t="n">
        <f aca="false">AI14*12</f>
        <v>5332346.56243317</v>
      </c>
      <c r="AJ15" s="11" t="n">
        <f aca="false">AJ14*12</f>
        <v>5593663.09680883</v>
      </c>
      <c r="AK15" s="11" t="n">
        <f aca="false">AK14*12</f>
        <v>5868098.46584075</v>
      </c>
      <c r="AL15" s="2"/>
    </row>
    <row r="16" customFormat="false" ht="15" hidden="false" customHeight="false" outlineLevel="0" collapsed="false">
      <c r="A16" s="4" t="s">
        <v>126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customFormat="false" ht="15" hidden="false" customHeight="false" outlineLevel="0" collapsed="false">
      <c r="A17" s="21" t="s">
        <v>127</v>
      </c>
      <c r="B17" s="11" t="n">
        <f aca="false">B8*Assumptions!$B$7</f>
        <v>0</v>
      </c>
      <c r="C17" s="11" t="n">
        <f aca="false">C8*Assumptions!$B$7</f>
        <v>0</v>
      </c>
      <c r="D17" s="11" t="n">
        <f aca="false">D8*Assumptions!$B$7</f>
        <v>0</v>
      </c>
      <c r="E17" s="11" t="n">
        <f aca="false">E8*Assumptions!$B$7</f>
        <v>8000</v>
      </c>
      <c r="F17" s="11" t="n">
        <f aca="false">F8*Assumptions!$B$7</f>
        <v>12000</v>
      </c>
      <c r="G17" s="11" t="n">
        <f aca="false">G8*Assumptions!$B$7</f>
        <v>16000</v>
      </c>
      <c r="H17" s="11" t="n">
        <f aca="false">H8*Assumptions!$B$7</f>
        <v>20000</v>
      </c>
      <c r="I17" s="11" t="n">
        <f aca="false">I8*Assumptions!$B$7</f>
        <v>20000</v>
      </c>
      <c r="J17" s="11" t="n">
        <f aca="false">J8*Assumptions!$B$7</f>
        <v>24000</v>
      </c>
      <c r="K17" s="11" t="n">
        <f aca="false">K8*Assumptions!$B$7</f>
        <v>28000</v>
      </c>
      <c r="L17" s="11" t="n">
        <f aca="false">L8*Assumptions!$B$7</f>
        <v>32000</v>
      </c>
      <c r="M17" s="11" t="n">
        <f aca="false">M8*Assumptions!$B$7</f>
        <v>36000</v>
      </c>
      <c r="N17" s="11" t="n">
        <f aca="false">N8*Assumptions!$B$7</f>
        <v>36000</v>
      </c>
      <c r="O17" s="11" t="n">
        <f aca="false">O8*Assumptions!$B$7</f>
        <v>40000</v>
      </c>
      <c r="P17" s="11" t="n">
        <f aca="false">P8*Assumptions!$B$7</f>
        <v>40000</v>
      </c>
      <c r="Q17" s="11" t="n">
        <f aca="false">Q8*Assumptions!$B$7</f>
        <v>44000</v>
      </c>
      <c r="R17" s="11" t="n">
        <f aca="false">R8*Assumptions!$B$7</f>
        <v>44000</v>
      </c>
      <c r="S17" s="11" t="n">
        <f aca="false">S8*Assumptions!$B$7</f>
        <v>48000</v>
      </c>
      <c r="T17" s="11" t="n">
        <f aca="false">T8*Assumptions!$B$7</f>
        <v>48000</v>
      </c>
      <c r="U17" s="11" t="n">
        <f aca="false">U8*Assumptions!$B$7</f>
        <v>52000</v>
      </c>
      <c r="V17" s="11" t="n">
        <f aca="false">V8*Assumptions!$B$7</f>
        <v>52000</v>
      </c>
      <c r="W17" s="11" t="n">
        <f aca="false">W8*Assumptions!$B$7</f>
        <v>56000</v>
      </c>
      <c r="X17" s="11" t="n">
        <f aca="false">X8*Assumptions!$B$7</f>
        <v>56000</v>
      </c>
      <c r="Y17" s="11" t="n">
        <f aca="false">Y8*Assumptions!$B$7</f>
        <v>60000</v>
      </c>
      <c r="Z17" s="11" t="n">
        <f aca="false">Z8*Assumptions!$B$7</f>
        <v>60000</v>
      </c>
      <c r="AA17" s="11" t="n">
        <f aca="false">AA8*Assumptions!$B$7</f>
        <v>64000</v>
      </c>
      <c r="AB17" s="11" t="n">
        <f aca="false">AB8*Assumptions!$B$7</f>
        <v>64000</v>
      </c>
      <c r="AC17" s="11" t="n">
        <f aca="false">AC8*Assumptions!$B$7</f>
        <v>68000</v>
      </c>
      <c r="AD17" s="11" t="n">
        <f aca="false">AD8*Assumptions!$B$7</f>
        <v>68000</v>
      </c>
      <c r="AE17" s="11" t="n">
        <f aca="false">AE8*Assumptions!$B$7</f>
        <v>72000</v>
      </c>
      <c r="AF17" s="11" t="n">
        <f aca="false">AF8*Assumptions!$B$7</f>
        <v>72000</v>
      </c>
      <c r="AG17" s="11" t="n">
        <f aca="false">AG8*Assumptions!$B$7</f>
        <v>76000</v>
      </c>
      <c r="AH17" s="11" t="n">
        <f aca="false">AH8*Assumptions!$B$7</f>
        <v>76000</v>
      </c>
      <c r="AI17" s="11" t="n">
        <f aca="false">AI8*Assumptions!$B$7</f>
        <v>80000</v>
      </c>
      <c r="AJ17" s="11" t="n">
        <f aca="false">AJ8*Assumptions!$B$7</f>
        <v>80000</v>
      </c>
      <c r="AK17" s="11" t="n">
        <f aca="false">AK8*Assumptions!$B$7</f>
        <v>84000</v>
      </c>
      <c r="AL17" s="2"/>
    </row>
    <row r="18" customFormat="false" ht="15" hidden="false" customHeight="false" outlineLevel="0" collapsed="false">
      <c r="A18" s="10" t="s">
        <v>128</v>
      </c>
      <c r="B18" s="24" t="n">
        <f aca="false">B14+B17</f>
        <v>3099.888</v>
      </c>
      <c r="C18" s="24" t="n">
        <f aca="false">C14+C17</f>
        <v>3068.88912</v>
      </c>
      <c r="D18" s="24" t="n">
        <f aca="false">D14+D17</f>
        <v>3038.2002288</v>
      </c>
      <c r="E18" s="24" t="n">
        <f aca="false">E14+E17</f>
        <v>13376.818226512</v>
      </c>
      <c r="F18" s="24" t="n">
        <f aca="false">F14+F17</f>
        <v>20876.5500442469</v>
      </c>
      <c r="G18" s="24" t="n">
        <f aca="false">G14+G17</f>
        <v>29525.7845438044</v>
      </c>
      <c r="H18" s="24" t="n">
        <f aca="false">H14+H17</f>
        <v>39313.0266983664</v>
      </c>
      <c r="I18" s="24" t="n">
        <f aca="false">I14+I17</f>
        <v>45042.3964313827</v>
      </c>
      <c r="J18" s="24" t="n">
        <f aca="false">J14+J17</f>
        <v>55898.9724670689</v>
      </c>
      <c r="K18" s="24" t="n">
        <f aca="false">K14+K17</f>
        <v>68551.2827423982</v>
      </c>
      <c r="L18" s="24" t="n">
        <f aca="false">L14+L17</f>
        <v>81621.7699149742</v>
      </c>
      <c r="M18" s="24" t="n">
        <f aca="false">M14+M17</f>
        <v>95786.0522158245</v>
      </c>
      <c r="N18" s="24" t="n">
        <f aca="false">N14+N17</f>
        <v>112833.560863033</v>
      </c>
      <c r="O18" s="24" t="n">
        <f aca="false">O14+O17</f>
        <v>128715.225254403</v>
      </c>
      <c r="P18" s="24" t="n">
        <f aca="false">P14+P17</f>
        <v>140478.073001859</v>
      </c>
      <c r="Q18" s="24" t="n">
        <f aca="false">Q14+Q17</f>
        <v>157388.29227184</v>
      </c>
      <c r="R18" s="24" t="n">
        <f aca="false">R14+R17</f>
        <v>170169.409349122</v>
      </c>
      <c r="S18" s="24" t="n">
        <f aca="false">S14+S17</f>
        <v>188087.71525563</v>
      </c>
      <c r="T18" s="24" t="n">
        <f aca="false">T14+T17</f>
        <v>201866.838103074</v>
      </c>
      <c r="U18" s="24" t="n">
        <f aca="false">U14+U17</f>
        <v>220773.169722043</v>
      </c>
      <c r="V18" s="24" t="n">
        <f aca="false">V14+V17</f>
        <v>235530.438024823</v>
      </c>
      <c r="W18" s="24" t="n">
        <f aca="false">W14+W17</f>
        <v>255405.133644575</v>
      </c>
      <c r="X18" s="24" t="n">
        <f aca="false">X14+X17</f>
        <v>271121.082308129</v>
      </c>
      <c r="Y18" s="24" t="n">
        <f aca="false">Y14+Y17</f>
        <v>291944.871485048</v>
      </c>
      <c r="Z18" s="24" t="n">
        <f aca="false">Z14+Z17</f>
        <v>325369.651287969</v>
      </c>
      <c r="AA18" s="24" t="n">
        <f aca="false">AA14+AA17</f>
        <v>347691.954775089</v>
      </c>
      <c r="AB18" s="24" t="n">
        <f aca="false">AB14+AB17</f>
        <v>365831.035227338</v>
      </c>
      <c r="AC18" s="24" t="n">
        <f aca="false">AC14+AC17</f>
        <v>389099.724875065</v>
      </c>
      <c r="AD18" s="24" t="n">
        <f aca="false">AD14+AD17</f>
        <v>408175.727626314</v>
      </c>
      <c r="AE18" s="24" t="n">
        <f aca="false">AE14+AE17</f>
        <v>432371.970350051</v>
      </c>
      <c r="AF18" s="24" t="n">
        <f aca="false">AF14+AF17</f>
        <v>452366.25064655</v>
      </c>
      <c r="AG18" s="24" t="n">
        <f aca="false">AG14+AG17</f>
        <v>477471.588140085</v>
      </c>
      <c r="AH18" s="24" t="n">
        <f aca="false">AH14+AH17</f>
        <v>498365.872258684</v>
      </c>
      <c r="AI18" s="24" t="n">
        <f aca="false">AI14+AI17</f>
        <v>524362.213536097</v>
      </c>
      <c r="AJ18" s="24" t="n">
        <f aca="false">AJ14+AJ17</f>
        <v>546138.591400736</v>
      </c>
      <c r="AK18" s="24" t="n">
        <f aca="false">AK14+AK17</f>
        <v>573008.205486729</v>
      </c>
      <c r="AL18" s="2"/>
    </row>
    <row r="19" customFormat="false" ht="15" hidden="false" customHeight="false" outlineLevel="0" collapsed="false">
      <c r="A19" s="4" t="s">
        <v>129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customFormat="false" ht="15" hidden="false" customHeight="false" outlineLevel="0" collapsed="false">
      <c r="A20" s="21" t="s">
        <v>130</v>
      </c>
      <c r="B20" s="11" t="n">
        <f aca="false">IF(B4&gt;=Assumptions!$B$28,Assumptions!$B$27/12,0)+IF(B4&gt;=13,Assumptions!$B$47/12,0)</f>
        <v>0</v>
      </c>
      <c r="C20" s="11" t="n">
        <f aca="false">IF(C4&gt;=Assumptions!$B$28,Assumptions!$B$27/12,0)+IF(C4&gt;=13,Assumptions!$B$47/12,0)</f>
        <v>0</v>
      </c>
      <c r="D20" s="11" t="n">
        <f aca="false">IF(D4&gt;=Assumptions!$B$28,Assumptions!$B$27/12,0)+IF(D4&gt;=13,Assumptions!$B$47/12,0)</f>
        <v>13333.3333333333</v>
      </c>
      <c r="E20" s="11" t="n">
        <f aca="false">IF(E4&gt;=Assumptions!$B$28,Assumptions!$B$27/12,0)+IF(E4&gt;=13,Assumptions!$B$47/12,0)</f>
        <v>13333.3333333333</v>
      </c>
      <c r="F20" s="11" t="n">
        <f aca="false">IF(F4&gt;=Assumptions!$B$28,Assumptions!$B$27/12,0)+IF(F4&gt;=13,Assumptions!$B$47/12,0)</f>
        <v>13333.3333333333</v>
      </c>
      <c r="G20" s="11" t="n">
        <f aca="false">IF(G4&gt;=Assumptions!$B$28,Assumptions!$B$27/12,0)+IF(G4&gt;=13,Assumptions!$B$47/12,0)</f>
        <v>13333.3333333333</v>
      </c>
      <c r="H20" s="11" t="n">
        <f aca="false">IF(H4&gt;=Assumptions!$B$28,Assumptions!$B$27/12,0)+IF(H4&gt;=13,Assumptions!$B$47/12,0)</f>
        <v>13333.3333333333</v>
      </c>
      <c r="I20" s="11" t="n">
        <f aca="false">IF(I4&gt;=Assumptions!$B$28,Assumptions!$B$27/12,0)+IF(I4&gt;=13,Assumptions!$B$47/12,0)</f>
        <v>13333.3333333333</v>
      </c>
      <c r="J20" s="11" t="n">
        <f aca="false">IF(J4&gt;=Assumptions!$B$28,Assumptions!$B$27/12,0)+IF(J4&gt;=13,Assumptions!$B$47/12,0)</f>
        <v>13333.3333333333</v>
      </c>
      <c r="K20" s="11" t="n">
        <f aca="false">IF(K4&gt;=Assumptions!$B$28,Assumptions!$B$27/12,0)+IF(K4&gt;=13,Assumptions!$B$47/12,0)</f>
        <v>13333.3333333333</v>
      </c>
      <c r="L20" s="11" t="n">
        <f aca="false">IF(L4&gt;=Assumptions!$B$28,Assumptions!$B$27/12,0)+IF(L4&gt;=13,Assumptions!$B$47/12,0)</f>
        <v>13333.3333333333</v>
      </c>
      <c r="M20" s="11" t="n">
        <f aca="false">IF(M4&gt;=Assumptions!$B$28,Assumptions!$B$27/12,0)+IF(M4&gt;=13,Assumptions!$B$47/12,0)</f>
        <v>13333.3333333333</v>
      </c>
      <c r="N20" s="11" t="n">
        <f aca="false">IF(N4&gt;=Assumptions!$B$28,Assumptions!$B$27/12,0)+IF(N4&gt;=13,Assumptions!$B$47/12,0)</f>
        <v>20000</v>
      </c>
      <c r="O20" s="11" t="n">
        <f aca="false">IF(O4&gt;=Assumptions!$B$28,Assumptions!$B$27/12,0)+IF(O4&gt;=13,Assumptions!$B$47/12,0)</f>
        <v>20000</v>
      </c>
      <c r="P20" s="11" t="n">
        <f aca="false">IF(P4&gt;=Assumptions!$B$28,Assumptions!$B$27/12,0)+IF(P4&gt;=13,Assumptions!$B$47/12,0)</f>
        <v>20000</v>
      </c>
      <c r="Q20" s="11" t="n">
        <f aca="false">IF(Q4&gt;=Assumptions!$B$28,Assumptions!$B$27/12,0)+IF(Q4&gt;=13,Assumptions!$B$47/12,0)</f>
        <v>20000</v>
      </c>
      <c r="R20" s="11" t="n">
        <f aca="false">IF(R4&gt;=Assumptions!$B$28,Assumptions!$B$27/12,0)+IF(R4&gt;=13,Assumptions!$B$47/12,0)</f>
        <v>20000</v>
      </c>
      <c r="S20" s="11" t="n">
        <f aca="false">IF(S4&gt;=Assumptions!$B$28,Assumptions!$B$27/12,0)+IF(S4&gt;=13,Assumptions!$B$47/12,0)</f>
        <v>20000</v>
      </c>
      <c r="T20" s="11" t="n">
        <f aca="false">IF(T4&gt;=Assumptions!$B$28,Assumptions!$B$27/12,0)+IF(T4&gt;=13,Assumptions!$B$47/12,0)</f>
        <v>20000</v>
      </c>
      <c r="U20" s="11" t="n">
        <f aca="false">IF(U4&gt;=Assumptions!$B$28,Assumptions!$B$27/12,0)+IF(U4&gt;=13,Assumptions!$B$47/12,0)</f>
        <v>20000</v>
      </c>
      <c r="V20" s="11" t="n">
        <f aca="false">IF(V4&gt;=Assumptions!$B$28,Assumptions!$B$27/12,0)+IF(V4&gt;=13,Assumptions!$B$47/12,0)</f>
        <v>20000</v>
      </c>
      <c r="W20" s="11" t="n">
        <f aca="false">IF(W4&gt;=Assumptions!$B$28,Assumptions!$B$27/12,0)+IF(W4&gt;=13,Assumptions!$B$47/12,0)</f>
        <v>20000</v>
      </c>
      <c r="X20" s="11" t="n">
        <f aca="false">IF(X4&gt;=Assumptions!$B$28,Assumptions!$B$27/12,0)+IF(X4&gt;=13,Assumptions!$B$47/12,0)</f>
        <v>20000</v>
      </c>
      <c r="Y20" s="11" t="n">
        <f aca="false">IF(Y4&gt;=Assumptions!$B$28,Assumptions!$B$27/12,0)+IF(Y4&gt;=13,Assumptions!$B$47/12,0)</f>
        <v>20000</v>
      </c>
      <c r="Z20" s="11" t="n">
        <f aca="false">IF(Z4&gt;=Assumptions!$B$28,Assumptions!$B$27/12,0)+IF(Z4&gt;=13,Assumptions!$B$47/12,0)</f>
        <v>20000</v>
      </c>
      <c r="AA20" s="11" t="n">
        <f aca="false">IF(AA4&gt;=Assumptions!$B$28,Assumptions!$B$27/12,0)+IF(AA4&gt;=13,Assumptions!$B$47/12,0)</f>
        <v>20000</v>
      </c>
      <c r="AB20" s="11" t="n">
        <f aca="false">IF(AB4&gt;=Assumptions!$B$28,Assumptions!$B$27/12,0)+IF(AB4&gt;=13,Assumptions!$B$47/12,0)</f>
        <v>20000</v>
      </c>
      <c r="AC20" s="11" t="n">
        <f aca="false">IF(AC4&gt;=Assumptions!$B$28,Assumptions!$B$27/12,0)+IF(AC4&gt;=13,Assumptions!$B$47/12,0)</f>
        <v>20000</v>
      </c>
      <c r="AD20" s="11" t="n">
        <f aca="false">IF(AD4&gt;=Assumptions!$B$28,Assumptions!$B$27/12,0)+IF(AD4&gt;=13,Assumptions!$B$47/12,0)</f>
        <v>20000</v>
      </c>
      <c r="AE20" s="11" t="n">
        <f aca="false">IF(AE4&gt;=Assumptions!$B$28,Assumptions!$B$27/12,0)+IF(AE4&gt;=13,Assumptions!$B$47/12,0)</f>
        <v>20000</v>
      </c>
      <c r="AF20" s="11" t="n">
        <f aca="false">IF(AF4&gt;=Assumptions!$B$28,Assumptions!$B$27/12,0)+IF(AF4&gt;=13,Assumptions!$B$47/12,0)</f>
        <v>20000</v>
      </c>
      <c r="AG20" s="11" t="n">
        <f aca="false">IF(AG4&gt;=Assumptions!$B$28,Assumptions!$B$27/12,0)+IF(AG4&gt;=13,Assumptions!$B$47/12,0)</f>
        <v>20000</v>
      </c>
      <c r="AH20" s="11" t="n">
        <f aca="false">IF(AH4&gt;=Assumptions!$B$28,Assumptions!$B$27/12,0)+IF(AH4&gt;=13,Assumptions!$B$47/12,0)</f>
        <v>20000</v>
      </c>
      <c r="AI20" s="11" t="n">
        <f aca="false">IF(AI4&gt;=Assumptions!$B$28,Assumptions!$B$27/12,0)+IF(AI4&gt;=13,Assumptions!$B$47/12,0)</f>
        <v>20000</v>
      </c>
      <c r="AJ20" s="11" t="n">
        <f aca="false">IF(AJ4&gt;=Assumptions!$B$28,Assumptions!$B$27/12,0)+IF(AJ4&gt;=13,Assumptions!$B$47/12,0)</f>
        <v>20000</v>
      </c>
      <c r="AK20" s="11" t="n">
        <f aca="false">IF(AK4&gt;=Assumptions!$B$28,Assumptions!$B$27/12,0)+IF(AK4&gt;=13,Assumptions!$B$47/12,0)</f>
        <v>20000</v>
      </c>
      <c r="AL20" s="2"/>
    </row>
    <row r="21" customFormat="false" ht="15" hidden="false" customHeight="false" outlineLevel="0" collapsed="false">
      <c r="A21" s="21" t="s">
        <v>131</v>
      </c>
      <c r="B21" s="11" t="n">
        <f aca="false">IF(B4&gt;=Assumptions!$B$29,MAX(1,ROUNDUP(B8/Assumptions!$B$40,0)),0)*Assumptions!$B$41/12</f>
        <v>0</v>
      </c>
      <c r="C21" s="11" t="n">
        <f aca="false">IF(C4&gt;=Assumptions!$B$29,MAX(1,ROUNDUP(C8/Assumptions!$B$40,0)),0)*Assumptions!$B$41/12</f>
        <v>5333.33333333333</v>
      </c>
      <c r="D21" s="11" t="n">
        <f aca="false">IF(D4&gt;=Assumptions!$B$29,MAX(1,ROUNDUP(D8/Assumptions!$B$40,0)),0)*Assumptions!$B$41/12</f>
        <v>5333.33333333333</v>
      </c>
      <c r="E21" s="11" t="n">
        <f aca="false">IF(E4&gt;=Assumptions!$B$29,MAX(1,ROUNDUP(E8/Assumptions!$B$40,0)),0)*Assumptions!$B$41/12</f>
        <v>5333.33333333333</v>
      </c>
      <c r="F21" s="11" t="n">
        <f aca="false">IF(F4&gt;=Assumptions!$B$29,MAX(1,ROUNDUP(F8/Assumptions!$B$40,0)),0)*Assumptions!$B$41/12</f>
        <v>5333.33333333333</v>
      </c>
      <c r="G21" s="11" t="n">
        <f aca="false">IF(G4&gt;=Assumptions!$B$29,MAX(1,ROUNDUP(G8/Assumptions!$B$40,0)),0)*Assumptions!$B$41/12</f>
        <v>5333.33333333333</v>
      </c>
      <c r="H21" s="11" t="n">
        <f aca="false">IF(H4&gt;=Assumptions!$B$29,MAX(1,ROUNDUP(H8/Assumptions!$B$40,0)),0)*Assumptions!$B$41/12</f>
        <v>5333.33333333333</v>
      </c>
      <c r="I21" s="11" t="n">
        <f aca="false">IF(I4&gt;=Assumptions!$B$29,MAX(1,ROUNDUP(I8/Assumptions!$B$40,0)),0)*Assumptions!$B$41/12</f>
        <v>5333.33333333333</v>
      </c>
      <c r="J21" s="11" t="n">
        <f aca="false">IF(J4&gt;=Assumptions!$B$29,MAX(1,ROUNDUP(J8/Assumptions!$B$40,0)),0)*Assumptions!$B$41/12</f>
        <v>5333.33333333333</v>
      </c>
      <c r="K21" s="11" t="n">
        <f aca="false">IF(K4&gt;=Assumptions!$B$29,MAX(1,ROUNDUP(K8/Assumptions!$B$40,0)),0)*Assumptions!$B$41/12</f>
        <v>5333.33333333333</v>
      </c>
      <c r="L21" s="11" t="n">
        <f aca="false">IF(L4&gt;=Assumptions!$B$29,MAX(1,ROUNDUP(L8/Assumptions!$B$40,0)),0)*Assumptions!$B$41/12</f>
        <v>5333.33333333333</v>
      </c>
      <c r="M21" s="11" t="n">
        <f aca="false">IF(M4&gt;=Assumptions!$B$29,MAX(1,ROUNDUP(M8/Assumptions!$B$40,0)),0)*Assumptions!$B$41/12</f>
        <v>10666.6666666667</v>
      </c>
      <c r="N21" s="11" t="n">
        <f aca="false">IF(N4&gt;=Assumptions!$B$29,MAX(1,ROUNDUP(N8/Assumptions!$B$40,0)),0)*Assumptions!$B$41/12</f>
        <v>10666.6666666667</v>
      </c>
      <c r="O21" s="11" t="n">
        <f aca="false">IF(O4&gt;=Assumptions!$B$29,MAX(1,ROUNDUP(O8/Assumptions!$B$40,0)),0)*Assumptions!$B$41/12</f>
        <v>10666.6666666667</v>
      </c>
      <c r="P21" s="11" t="n">
        <f aca="false">IF(P4&gt;=Assumptions!$B$29,MAX(1,ROUNDUP(P8/Assumptions!$B$40,0)),0)*Assumptions!$B$41/12</f>
        <v>10666.6666666667</v>
      </c>
      <c r="Q21" s="11" t="n">
        <f aca="false">IF(Q4&gt;=Assumptions!$B$29,MAX(1,ROUNDUP(Q8/Assumptions!$B$40,0)),0)*Assumptions!$B$41/12</f>
        <v>10666.6666666667</v>
      </c>
      <c r="R21" s="11" t="n">
        <f aca="false">IF(R4&gt;=Assumptions!$B$29,MAX(1,ROUNDUP(R8/Assumptions!$B$40,0)),0)*Assumptions!$B$41/12</f>
        <v>10666.6666666667</v>
      </c>
      <c r="S21" s="11" t="n">
        <f aca="false">IF(S4&gt;=Assumptions!$B$29,MAX(1,ROUNDUP(S8/Assumptions!$B$40,0)),0)*Assumptions!$B$41/12</f>
        <v>10666.6666666667</v>
      </c>
      <c r="T21" s="11" t="n">
        <f aca="false">IF(T4&gt;=Assumptions!$B$29,MAX(1,ROUNDUP(T8/Assumptions!$B$40,0)),0)*Assumptions!$B$41/12</f>
        <v>10666.6666666667</v>
      </c>
      <c r="U21" s="11" t="n">
        <f aca="false">IF(U4&gt;=Assumptions!$B$29,MAX(1,ROUNDUP(U8/Assumptions!$B$40,0)),0)*Assumptions!$B$41/12</f>
        <v>10666.6666666667</v>
      </c>
      <c r="V21" s="11" t="n">
        <f aca="false">IF(V4&gt;=Assumptions!$B$29,MAX(1,ROUNDUP(V8/Assumptions!$B$40,0)),0)*Assumptions!$B$41/12</f>
        <v>10666.6666666667</v>
      </c>
      <c r="W21" s="11" t="n">
        <f aca="false">IF(W4&gt;=Assumptions!$B$29,MAX(1,ROUNDUP(W8/Assumptions!$B$40,0)),0)*Assumptions!$B$41/12</f>
        <v>10666.6666666667</v>
      </c>
      <c r="X21" s="11" t="n">
        <f aca="false">IF(X4&gt;=Assumptions!$B$29,MAX(1,ROUNDUP(X8/Assumptions!$B$40,0)),0)*Assumptions!$B$41/12</f>
        <v>10666.6666666667</v>
      </c>
      <c r="Y21" s="11" t="n">
        <f aca="false">IF(Y4&gt;=Assumptions!$B$29,MAX(1,ROUNDUP(Y8/Assumptions!$B$40,0)),0)*Assumptions!$B$41/12</f>
        <v>10666.6666666667</v>
      </c>
      <c r="Z21" s="11" t="n">
        <f aca="false">IF(Z4&gt;=Assumptions!$B$29,MAX(1,ROUNDUP(Z8/Assumptions!$B$40,0)),0)*Assumptions!$B$41/12</f>
        <v>10666.6666666667</v>
      </c>
      <c r="AA21" s="11" t="n">
        <f aca="false">IF(AA4&gt;=Assumptions!$B$29,MAX(1,ROUNDUP(AA8/Assumptions!$B$40,0)),0)*Assumptions!$B$41/12</f>
        <v>10666.6666666667</v>
      </c>
      <c r="AB21" s="11" t="n">
        <f aca="false">IF(AB4&gt;=Assumptions!$B$29,MAX(1,ROUNDUP(AB8/Assumptions!$B$40,0)),0)*Assumptions!$B$41/12</f>
        <v>10666.6666666667</v>
      </c>
      <c r="AC21" s="11" t="n">
        <f aca="false">IF(AC4&gt;=Assumptions!$B$29,MAX(1,ROUNDUP(AC8/Assumptions!$B$40,0)),0)*Assumptions!$B$41/12</f>
        <v>16000</v>
      </c>
      <c r="AD21" s="11" t="n">
        <f aca="false">IF(AD4&gt;=Assumptions!$B$29,MAX(1,ROUNDUP(AD8/Assumptions!$B$40,0)),0)*Assumptions!$B$41/12</f>
        <v>16000</v>
      </c>
      <c r="AE21" s="11" t="n">
        <f aca="false">IF(AE4&gt;=Assumptions!$B$29,MAX(1,ROUNDUP(AE8/Assumptions!$B$40,0)),0)*Assumptions!$B$41/12</f>
        <v>16000</v>
      </c>
      <c r="AF21" s="11" t="n">
        <f aca="false">IF(AF4&gt;=Assumptions!$B$29,MAX(1,ROUNDUP(AF8/Assumptions!$B$40,0)),0)*Assumptions!$B$41/12</f>
        <v>16000</v>
      </c>
      <c r="AG21" s="11" t="n">
        <f aca="false">IF(AG4&gt;=Assumptions!$B$29,MAX(1,ROUNDUP(AG8/Assumptions!$B$40,0)),0)*Assumptions!$B$41/12</f>
        <v>16000</v>
      </c>
      <c r="AH21" s="11" t="n">
        <f aca="false">IF(AH4&gt;=Assumptions!$B$29,MAX(1,ROUNDUP(AH8/Assumptions!$B$40,0)),0)*Assumptions!$B$41/12</f>
        <v>16000</v>
      </c>
      <c r="AI21" s="11" t="n">
        <f aca="false">IF(AI4&gt;=Assumptions!$B$29,MAX(1,ROUNDUP(AI8/Assumptions!$B$40,0)),0)*Assumptions!$B$41/12</f>
        <v>16000</v>
      </c>
      <c r="AJ21" s="11" t="n">
        <f aca="false">IF(AJ4&gt;=Assumptions!$B$29,MAX(1,ROUNDUP(AJ8/Assumptions!$B$40,0)),0)*Assumptions!$B$41/12</f>
        <v>16000</v>
      </c>
      <c r="AK21" s="11" t="n">
        <f aca="false">IF(AK4&gt;=Assumptions!$B$29,MAX(1,ROUNDUP(AK8/Assumptions!$B$40,0)),0)*Assumptions!$B$41/12</f>
        <v>16000</v>
      </c>
      <c r="AL21" s="2"/>
    </row>
    <row r="22" customFormat="false" ht="15" hidden="false" customHeight="false" outlineLevel="0" collapsed="false">
      <c r="A22" s="21" t="s">
        <v>132</v>
      </c>
      <c r="B22" s="11" t="n">
        <f aca="false">IF(AND(B4&gt;=3,B4&lt;=12),Assumptions!$B$30/10,0)</f>
        <v>0</v>
      </c>
      <c r="C22" s="11" t="n">
        <f aca="false">IF(AND(C4&gt;=3,C4&lt;=12),Assumptions!$B$30/10,0)</f>
        <v>0</v>
      </c>
      <c r="D22" s="11" t="n">
        <f aca="false">IF(AND(D4&gt;=3,D4&lt;=12),Assumptions!$B$30/10,0)</f>
        <v>5000</v>
      </c>
      <c r="E22" s="11" t="n">
        <f aca="false">IF(AND(E4&gt;=3,E4&lt;=12),Assumptions!$B$30/10,0)</f>
        <v>5000</v>
      </c>
      <c r="F22" s="11" t="n">
        <f aca="false">IF(AND(F4&gt;=3,F4&lt;=12),Assumptions!$B$30/10,0)</f>
        <v>5000</v>
      </c>
      <c r="G22" s="11" t="n">
        <f aca="false">IF(AND(G4&gt;=3,G4&lt;=12),Assumptions!$B$30/10,0)</f>
        <v>5000</v>
      </c>
      <c r="H22" s="11" t="n">
        <f aca="false">IF(AND(H4&gt;=3,H4&lt;=12),Assumptions!$B$30/10,0)</f>
        <v>5000</v>
      </c>
      <c r="I22" s="11" t="n">
        <f aca="false">IF(AND(I4&gt;=3,I4&lt;=12),Assumptions!$B$30/10,0)</f>
        <v>5000</v>
      </c>
      <c r="J22" s="11" t="n">
        <f aca="false">IF(AND(J4&gt;=3,J4&lt;=12),Assumptions!$B$30/10,0)</f>
        <v>5000</v>
      </c>
      <c r="K22" s="11" t="n">
        <f aca="false">IF(AND(K4&gt;=3,K4&lt;=12),Assumptions!$B$30/10,0)</f>
        <v>5000</v>
      </c>
      <c r="L22" s="11" t="n">
        <f aca="false">IF(AND(L4&gt;=3,L4&lt;=12),Assumptions!$B$30/10,0)</f>
        <v>5000</v>
      </c>
      <c r="M22" s="11" t="n">
        <f aca="false">IF(AND(M4&gt;=3,M4&lt;=12),Assumptions!$B$30/10,0)</f>
        <v>5000</v>
      </c>
      <c r="N22" s="11" t="n">
        <f aca="false">IF(AND(N4&gt;=3,N4&lt;=12),Assumptions!$B$30/10,0)</f>
        <v>0</v>
      </c>
      <c r="O22" s="11" t="n">
        <f aca="false">IF(AND(O4&gt;=3,O4&lt;=12),Assumptions!$B$30/10,0)</f>
        <v>0</v>
      </c>
      <c r="P22" s="11" t="n">
        <f aca="false">IF(AND(P4&gt;=3,P4&lt;=12),Assumptions!$B$30/10,0)</f>
        <v>0</v>
      </c>
      <c r="Q22" s="11" t="n">
        <f aca="false">IF(AND(Q4&gt;=3,Q4&lt;=12),Assumptions!$B$30/10,0)</f>
        <v>0</v>
      </c>
      <c r="R22" s="11" t="n">
        <f aca="false">IF(AND(R4&gt;=3,R4&lt;=12),Assumptions!$B$30/10,0)</f>
        <v>0</v>
      </c>
      <c r="S22" s="11" t="n">
        <f aca="false">IF(AND(S4&gt;=3,S4&lt;=12),Assumptions!$B$30/10,0)</f>
        <v>0</v>
      </c>
      <c r="T22" s="11" t="n">
        <f aca="false">IF(AND(T4&gt;=3,T4&lt;=12),Assumptions!$B$30/10,0)</f>
        <v>0</v>
      </c>
      <c r="U22" s="11" t="n">
        <f aca="false">IF(AND(U4&gt;=3,U4&lt;=12),Assumptions!$B$30/10,0)</f>
        <v>0</v>
      </c>
      <c r="V22" s="11" t="n">
        <f aca="false">IF(AND(V4&gt;=3,V4&lt;=12),Assumptions!$B$30/10,0)</f>
        <v>0</v>
      </c>
      <c r="W22" s="11" t="n">
        <f aca="false">IF(AND(W4&gt;=3,W4&lt;=12),Assumptions!$B$30/10,0)</f>
        <v>0</v>
      </c>
      <c r="X22" s="11" t="n">
        <f aca="false">IF(AND(X4&gt;=3,X4&lt;=12),Assumptions!$B$30/10,0)</f>
        <v>0</v>
      </c>
      <c r="Y22" s="11" t="n">
        <f aca="false">IF(AND(Y4&gt;=3,Y4&lt;=12),Assumptions!$B$30/10,0)</f>
        <v>0</v>
      </c>
      <c r="Z22" s="11" t="n">
        <f aca="false">IF(AND(Z4&gt;=3,Z4&lt;=12),Assumptions!$B$30/10,0)</f>
        <v>0</v>
      </c>
      <c r="AA22" s="11" t="n">
        <f aca="false">IF(AND(AA4&gt;=3,AA4&lt;=12),Assumptions!$B$30/10,0)</f>
        <v>0</v>
      </c>
      <c r="AB22" s="11" t="n">
        <f aca="false">IF(AND(AB4&gt;=3,AB4&lt;=12),Assumptions!$B$30/10,0)</f>
        <v>0</v>
      </c>
      <c r="AC22" s="11" t="n">
        <f aca="false">IF(AND(AC4&gt;=3,AC4&lt;=12),Assumptions!$B$30/10,0)</f>
        <v>0</v>
      </c>
      <c r="AD22" s="11" t="n">
        <f aca="false">IF(AND(AD4&gt;=3,AD4&lt;=12),Assumptions!$B$30/10,0)</f>
        <v>0</v>
      </c>
      <c r="AE22" s="11" t="n">
        <f aca="false">IF(AND(AE4&gt;=3,AE4&lt;=12),Assumptions!$B$30/10,0)</f>
        <v>0</v>
      </c>
      <c r="AF22" s="11" t="n">
        <f aca="false">IF(AND(AF4&gt;=3,AF4&lt;=12),Assumptions!$B$30/10,0)</f>
        <v>0</v>
      </c>
      <c r="AG22" s="11" t="n">
        <f aca="false">IF(AND(AG4&gt;=3,AG4&lt;=12),Assumptions!$B$30/10,0)</f>
        <v>0</v>
      </c>
      <c r="AH22" s="11" t="n">
        <f aca="false">IF(AND(AH4&gt;=3,AH4&lt;=12),Assumptions!$B$30/10,0)</f>
        <v>0</v>
      </c>
      <c r="AI22" s="11" t="n">
        <f aca="false">IF(AND(AI4&gt;=3,AI4&lt;=12),Assumptions!$B$30/10,0)</f>
        <v>0</v>
      </c>
      <c r="AJ22" s="11" t="n">
        <f aca="false">IF(AND(AJ4&gt;=3,AJ4&lt;=12),Assumptions!$B$30/10,0)</f>
        <v>0</v>
      </c>
      <c r="AK22" s="11" t="n">
        <f aca="false">IF(AND(AK4&gt;=3,AK4&lt;=12),Assumptions!$B$30/10,0)</f>
        <v>0</v>
      </c>
      <c r="AL22" s="2"/>
    </row>
    <row r="23" customFormat="false" ht="15" hidden="false" customHeight="false" outlineLevel="0" collapsed="false">
      <c r="A23" s="21" t="s">
        <v>133</v>
      </c>
      <c r="B23" s="11" t="n">
        <f aca="false">IF(B4&lt;=12,IF(B4&gt;=Assumptions!$B$33,Assumptions!$B$31/12,0),B8*Assumptions!$B$48)</f>
        <v>0</v>
      </c>
      <c r="C23" s="11" t="n">
        <f aca="false">IF(C4&lt;=12,IF(C4&gt;=Assumptions!$B$33,Assumptions!$B$31/12,0),C8*Assumptions!$B$48)</f>
        <v>0</v>
      </c>
      <c r="D23" s="11" t="n">
        <f aca="false">IF(D4&lt;=12,IF(D4&gt;=Assumptions!$B$33,Assumptions!$B$31/12,0),D8*Assumptions!$B$48)</f>
        <v>3333.33333333333</v>
      </c>
      <c r="E23" s="11" t="n">
        <f aca="false">IF(E4&lt;=12,IF(E4&gt;=Assumptions!$B$33,Assumptions!$B$31/12,0),E8*Assumptions!$B$48)</f>
        <v>3333.33333333333</v>
      </c>
      <c r="F23" s="11" t="n">
        <f aca="false">IF(F4&lt;=12,IF(F4&gt;=Assumptions!$B$33,Assumptions!$B$31/12,0),F8*Assumptions!$B$48)</f>
        <v>3333.33333333333</v>
      </c>
      <c r="G23" s="11" t="n">
        <f aca="false">IF(G4&lt;=12,IF(G4&gt;=Assumptions!$B$33,Assumptions!$B$31/12,0),G8*Assumptions!$B$48)</f>
        <v>3333.33333333333</v>
      </c>
      <c r="H23" s="11" t="n">
        <f aca="false">IF(H4&lt;=12,IF(H4&gt;=Assumptions!$B$33,Assumptions!$B$31/12,0),H8*Assumptions!$B$48)</f>
        <v>3333.33333333333</v>
      </c>
      <c r="I23" s="11" t="n">
        <f aca="false">IF(I4&lt;=12,IF(I4&gt;=Assumptions!$B$33,Assumptions!$B$31/12,0),I8*Assumptions!$B$48)</f>
        <v>3333.33333333333</v>
      </c>
      <c r="J23" s="11" t="n">
        <f aca="false">IF(J4&lt;=12,IF(J4&gt;=Assumptions!$B$33,Assumptions!$B$31/12,0),J8*Assumptions!$B$48)</f>
        <v>3333.33333333333</v>
      </c>
      <c r="K23" s="11" t="n">
        <f aca="false">IF(K4&lt;=12,IF(K4&gt;=Assumptions!$B$33,Assumptions!$B$31/12,0),K8*Assumptions!$B$48)</f>
        <v>3333.33333333333</v>
      </c>
      <c r="L23" s="11" t="n">
        <f aca="false">IF(L4&lt;=12,IF(L4&gt;=Assumptions!$B$33,Assumptions!$B$31/12,0),L8*Assumptions!$B$48)</f>
        <v>3333.33333333333</v>
      </c>
      <c r="M23" s="11" t="n">
        <f aca="false">IF(M4&lt;=12,IF(M4&gt;=Assumptions!$B$33,Assumptions!$B$31/12,0),M8*Assumptions!$B$48)</f>
        <v>3333.33333333333</v>
      </c>
      <c r="N23" s="11" t="n">
        <f aca="false">IF(N4&lt;=12,IF(N4&gt;=Assumptions!$B$33,Assumptions!$B$31/12,0),N8*Assumptions!$B$48)</f>
        <v>13500</v>
      </c>
      <c r="O23" s="11" t="n">
        <f aca="false">IF(O4&lt;=12,IF(O4&gt;=Assumptions!$B$33,Assumptions!$B$31/12,0),O8*Assumptions!$B$48)</f>
        <v>15000</v>
      </c>
      <c r="P23" s="11" t="n">
        <f aca="false">IF(P4&lt;=12,IF(P4&gt;=Assumptions!$B$33,Assumptions!$B$31/12,0),P8*Assumptions!$B$48)</f>
        <v>15000</v>
      </c>
      <c r="Q23" s="11" t="n">
        <f aca="false">IF(Q4&lt;=12,IF(Q4&gt;=Assumptions!$B$33,Assumptions!$B$31/12,0),Q8*Assumptions!$B$48)</f>
        <v>16500</v>
      </c>
      <c r="R23" s="11" t="n">
        <f aca="false">IF(R4&lt;=12,IF(R4&gt;=Assumptions!$B$33,Assumptions!$B$31/12,0),R8*Assumptions!$B$48)</f>
        <v>16500</v>
      </c>
      <c r="S23" s="11" t="n">
        <f aca="false">IF(S4&lt;=12,IF(S4&gt;=Assumptions!$B$33,Assumptions!$B$31/12,0),S8*Assumptions!$B$48)</f>
        <v>18000</v>
      </c>
      <c r="T23" s="11" t="n">
        <f aca="false">IF(T4&lt;=12,IF(T4&gt;=Assumptions!$B$33,Assumptions!$B$31/12,0),T8*Assumptions!$B$48)</f>
        <v>18000</v>
      </c>
      <c r="U23" s="11" t="n">
        <f aca="false">IF(U4&lt;=12,IF(U4&gt;=Assumptions!$B$33,Assumptions!$B$31/12,0),U8*Assumptions!$B$48)</f>
        <v>19500</v>
      </c>
      <c r="V23" s="11" t="n">
        <f aca="false">IF(V4&lt;=12,IF(V4&gt;=Assumptions!$B$33,Assumptions!$B$31/12,0),V8*Assumptions!$B$48)</f>
        <v>19500</v>
      </c>
      <c r="W23" s="11" t="n">
        <f aca="false">IF(W4&lt;=12,IF(W4&gt;=Assumptions!$B$33,Assumptions!$B$31/12,0),W8*Assumptions!$B$48)</f>
        <v>21000</v>
      </c>
      <c r="X23" s="11" t="n">
        <f aca="false">IF(X4&lt;=12,IF(X4&gt;=Assumptions!$B$33,Assumptions!$B$31/12,0),X8*Assumptions!$B$48)</f>
        <v>21000</v>
      </c>
      <c r="Y23" s="11" t="n">
        <f aca="false">IF(Y4&lt;=12,IF(Y4&gt;=Assumptions!$B$33,Assumptions!$B$31/12,0),Y8*Assumptions!$B$48)</f>
        <v>22500</v>
      </c>
      <c r="Z23" s="11" t="n">
        <f aca="false">IF(Z4&lt;=12,IF(Z4&gt;=Assumptions!$B$33,Assumptions!$B$31/12,0),Z8*Assumptions!$B$48)</f>
        <v>22500</v>
      </c>
      <c r="AA23" s="11" t="n">
        <f aca="false">IF(AA4&lt;=12,IF(AA4&gt;=Assumptions!$B$33,Assumptions!$B$31/12,0),AA8*Assumptions!$B$48)</f>
        <v>24000</v>
      </c>
      <c r="AB23" s="11" t="n">
        <f aca="false">IF(AB4&lt;=12,IF(AB4&gt;=Assumptions!$B$33,Assumptions!$B$31/12,0),AB8*Assumptions!$B$48)</f>
        <v>24000</v>
      </c>
      <c r="AC23" s="11" t="n">
        <f aca="false">IF(AC4&lt;=12,IF(AC4&gt;=Assumptions!$B$33,Assumptions!$B$31/12,0),AC8*Assumptions!$B$48)</f>
        <v>25500</v>
      </c>
      <c r="AD23" s="11" t="n">
        <f aca="false">IF(AD4&lt;=12,IF(AD4&gt;=Assumptions!$B$33,Assumptions!$B$31/12,0),AD8*Assumptions!$B$48)</f>
        <v>25500</v>
      </c>
      <c r="AE23" s="11" t="n">
        <f aca="false">IF(AE4&lt;=12,IF(AE4&gt;=Assumptions!$B$33,Assumptions!$B$31/12,0),AE8*Assumptions!$B$48)</f>
        <v>27000</v>
      </c>
      <c r="AF23" s="11" t="n">
        <f aca="false">IF(AF4&lt;=12,IF(AF4&gt;=Assumptions!$B$33,Assumptions!$B$31/12,0),AF8*Assumptions!$B$48)</f>
        <v>27000</v>
      </c>
      <c r="AG23" s="11" t="n">
        <f aca="false">IF(AG4&lt;=12,IF(AG4&gt;=Assumptions!$B$33,Assumptions!$B$31/12,0),AG8*Assumptions!$B$48)</f>
        <v>28500</v>
      </c>
      <c r="AH23" s="11" t="n">
        <f aca="false">IF(AH4&lt;=12,IF(AH4&gt;=Assumptions!$B$33,Assumptions!$B$31/12,0),AH8*Assumptions!$B$48)</f>
        <v>28500</v>
      </c>
      <c r="AI23" s="11" t="n">
        <f aca="false">IF(AI4&lt;=12,IF(AI4&gt;=Assumptions!$B$33,Assumptions!$B$31/12,0),AI8*Assumptions!$B$48)</f>
        <v>30000</v>
      </c>
      <c r="AJ23" s="11" t="n">
        <f aca="false">IF(AJ4&lt;=12,IF(AJ4&gt;=Assumptions!$B$33,Assumptions!$B$31/12,0),AJ8*Assumptions!$B$48)</f>
        <v>30000</v>
      </c>
      <c r="AK23" s="11" t="n">
        <f aca="false">IF(AK4&lt;=12,IF(AK4&gt;=Assumptions!$B$33,Assumptions!$B$31/12,0),AK8*Assumptions!$B$48)</f>
        <v>31500</v>
      </c>
      <c r="AL23" s="2"/>
    </row>
    <row r="24" customFormat="false" ht="15" hidden="false" customHeight="false" outlineLevel="0" collapsed="false">
      <c r="A24" s="21" t="s">
        <v>134</v>
      </c>
      <c r="B24" s="11" t="n">
        <f aca="false">0+IF(B4&gt;=Assumptions!$B$35,MAX(0,ROUNDUP(MAX(0,B8-Assumptions!$B$43)/Assumptions!$B$42,0)-0),0)*Assumptions!$B$44/12+IF(B4&gt;=13,ROUNDUP(B7/Assumptions!$B$45,0)*Assumptions!$B$46/12,0)</f>
        <v>0</v>
      </c>
      <c r="C24" s="11" t="n">
        <f aca="false">0+IF(C4&gt;=Assumptions!$B$35,MAX(0,ROUNDUP(MAX(0,C8-Assumptions!$B$43)/Assumptions!$B$42,0)-0),0)*Assumptions!$B$44/12+IF(C4&gt;=13,ROUNDUP(C7/Assumptions!$B$45,0)*Assumptions!$B$46/12,0)</f>
        <v>0</v>
      </c>
      <c r="D24" s="11" t="n">
        <f aca="false">0+IF(D4&gt;=Assumptions!$B$35,MAX(0,ROUNDUP(MAX(0,D8-Assumptions!$B$43)/Assumptions!$B$42,0)-0),0)*Assumptions!$B$44/12+IF(D4&gt;=13,ROUNDUP(D7/Assumptions!$B$45,0)*Assumptions!$B$46/12,0)</f>
        <v>0</v>
      </c>
      <c r="E24" s="11" t="n">
        <f aca="false">0+IF(E4&gt;=Assumptions!$B$35,MAX(0,ROUNDUP(MAX(0,E8-Assumptions!$B$43)/Assumptions!$B$42,0)-0),0)*Assumptions!$B$44/12+IF(E4&gt;=13,ROUNDUP(E7/Assumptions!$B$45,0)*Assumptions!$B$46/12,0)</f>
        <v>0</v>
      </c>
      <c r="F24" s="11" t="n">
        <f aca="false">0+IF(F4&gt;=Assumptions!$B$35,MAX(0,ROUNDUP(MAX(0,F8-Assumptions!$B$43)/Assumptions!$B$42,0)-0),0)*Assumptions!$B$44/12+IF(F4&gt;=13,ROUNDUP(F7/Assumptions!$B$45,0)*Assumptions!$B$46/12,0)</f>
        <v>0</v>
      </c>
      <c r="G24" s="11" t="n">
        <f aca="false">0+IF(G4&gt;=Assumptions!$B$35,MAX(0,ROUNDUP(MAX(0,G8-Assumptions!$B$43)/Assumptions!$B$42,0)-0),0)*Assumptions!$B$44/12+IF(G4&gt;=13,ROUNDUP(G7/Assumptions!$B$45,0)*Assumptions!$B$46/12,0)</f>
        <v>3333.33333333333</v>
      </c>
      <c r="H24" s="11" t="n">
        <f aca="false">0+IF(H4&gt;=Assumptions!$B$35,MAX(0,ROUNDUP(MAX(0,H8-Assumptions!$B$43)/Assumptions!$B$42,0)-0),0)*Assumptions!$B$44/12+IF(H4&gt;=13,ROUNDUP(H7/Assumptions!$B$45,0)*Assumptions!$B$46/12,0)</f>
        <v>3333.33333333333</v>
      </c>
      <c r="I24" s="11" t="n">
        <f aca="false">0+IF(I4&gt;=Assumptions!$B$35,MAX(0,ROUNDUP(MAX(0,I8-Assumptions!$B$43)/Assumptions!$B$42,0)-0),0)*Assumptions!$B$44/12+IF(I4&gt;=13,ROUNDUP(I7/Assumptions!$B$45,0)*Assumptions!$B$46/12,0)</f>
        <v>3333.33333333333</v>
      </c>
      <c r="J24" s="11" t="n">
        <f aca="false">0+IF(J4&gt;=Assumptions!$B$35,MAX(0,ROUNDUP(MAX(0,J8-Assumptions!$B$43)/Assumptions!$B$42,0)-0),0)*Assumptions!$B$44/12+IF(J4&gt;=13,ROUNDUP(J7/Assumptions!$B$45,0)*Assumptions!$B$46/12,0)</f>
        <v>3333.33333333333</v>
      </c>
      <c r="K24" s="11" t="n">
        <f aca="false">0+IF(K4&gt;=Assumptions!$B$35,MAX(0,ROUNDUP(MAX(0,K8-Assumptions!$B$43)/Assumptions!$B$42,0)-0),0)*Assumptions!$B$44/12+IF(K4&gt;=13,ROUNDUP(K7/Assumptions!$B$45,0)*Assumptions!$B$46/12,0)</f>
        <v>3333.33333333333</v>
      </c>
      <c r="L24" s="11" t="n">
        <f aca="false">0+IF(L4&gt;=Assumptions!$B$35,MAX(0,ROUNDUP(MAX(0,L8-Assumptions!$B$43)/Assumptions!$B$42,0)-0),0)*Assumptions!$B$44/12+IF(L4&gt;=13,ROUNDUP(L7/Assumptions!$B$45,0)*Assumptions!$B$46/12,0)</f>
        <v>3333.33333333333</v>
      </c>
      <c r="M24" s="11" t="n">
        <f aca="false">0+IF(M4&gt;=Assumptions!$B$35,MAX(0,ROUNDUP(MAX(0,M8-Assumptions!$B$43)/Assumptions!$B$42,0)-0),0)*Assumptions!$B$44/12+IF(M4&gt;=13,ROUNDUP(M7/Assumptions!$B$45,0)*Assumptions!$B$46/12,0)</f>
        <v>3333.33333333333</v>
      </c>
      <c r="N24" s="11" t="n">
        <f aca="false">0+IF(N4&gt;=Assumptions!$B$35,MAX(0,ROUNDUP(MAX(0,N8-Assumptions!$B$43)/Assumptions!$B$42,0)-0),0)*Assumptions!$B$44/12+IF(N4&gt;=13,ROUNDUP(N7/Assumptions!$B$45,0)*Assumptions!$B$46/12,0)</f>
        <v>6666.66666666667</v>
      </c>
      <c r="O24" s="11" t="n">
        <f aca="false">0+IF(O4&gt;=Assumptions!$B$35,MAX(0,ROUNDUP(MAX(0,O8-Assumptions!$B$43)/Assumptions!$B$42,0)-0),0)*Assumptions!$B$44/12+IF(O4&gt;=13,ROUNDUP(O7/Assumptions!$B$45,0)*Assumptions!$B$46/12,0)</f>
        <v>10000</v>
      </c>
      <c r="P24" s="11" t="n">
        <f aca="false">0+IF(P4&gt;=Assumptions!$B$35,MAX(0,ROUNDUP(MAX(0,P8-Assumptions!$B$43)/Assumptions!$B$42,0)-0),0)*Assumptions!$B$44/12+IF(P4&gt;=13,ROUNDUP(P7/Assumptions!$B$45,0)*Assumptions!$B$46/12,0)</f>
        <v>10000</v>
      </c>
      <c r="Q24" s="11" t="n">
        <f aca="false">0+IF(Q4&gt;=Assumptions!$B$35,MAX(0,ROUNDUP(MAX(0,Q8-Assumptions!$B$43)/Assumptions!$B$42,0)-0),0)*Assumptions!$B$44/12+IF(Q4&gt;=13,ROUNDUP(Q7/Assumptions!$B$45,0)*Assumptions!$B$46/12,0)</f>
        <v>10000</v>
      </c>
      <c r="R24" s="11" t="n">
        <f aca="false">0+IF(R4&gt;=Assumptions!$B$35,MAX(0,ROUNDUP(MAX(0,R8-Assumptions!$B$43)/Assumptions!$B$42,0)-0),0)*Assumptions!$B$44/12+IF(R4&gt;=13,ROUNDUP(R7/Assumptions!$B$45,0)*Assumptions!$B$46/12,0)</f>
        <v>10000</v>
      </c>
      <c r="S24" s="11" t="n">
        <f aca="false">0+IF(S4&gt;=Assumptions!$B$35,MAX(0,ROUNDUP(MAX(0,S8-Assumptions!$B$43)/Assumptions!$B$42,0)-0),0)*Assumptions!$B$44/12+IF(S4&gt;=13,ROUNDUP(S7/Assumptions!$B$45,0)*Assumptions!$B$46/12,0)</f>
        <v>10000</v>
      </c>
      <c r="T24" s="11" t="n">
        <f aca="false">0+IF(T4&gt;=Assumptions!$B$35,MAX(0,ROUNDUP(MAX(0,T8-Assumptions!$B$43)/Assumptions!$B$42,0)-0),0)*Assumptions!$B$44/12+IF(T4&gt;=13,ROUNDUP(T7/Assumptions!$B$45,0)*Assumptions!$B$46/12,0)</f>
        <v>13333.3333333333</v>
      </c>
      <c r="U24" s="11" t="n">
        <f aca="false">0+IF(U4&gt;=Assumptions!$B$35,MAX(0,ROUNDUP(MAX(0,U8-Assumptions!$B$43)/Assumptions!$B$42,0)-0),0)*Assumptions!$B$44/12+IF(U4&gt;=13,ROUNDUP(U7/Assumptions!$B$45,0)*Assumptions!$B$46/12,0)</f>
        <v>13333.3333333333</v>
      </c>
      <c r="V24" s="11" t="n">
        <f aca="false">0+IF(V4&gt;=Assumptions!$B$35,MAX(0,ROUNDUP(MAX(0,V8-Assumptions!$B$43)/Assumptions!$B$42,0)-0),0)*Assumptions!$B$44/12+IF(V4&gt;=13,ROUNDUP(V7/Assumptions!$B$45,0)*Assumptions!$B$46/12,0)</f>
        <v>13333.3333333333</v>
      </c>
      <c r="W24" s="11" t="n">
        <f aca="false">0+IF(W4&gt;=Assumptions!$B$35,MAX(0,ROUNDUP(MAX(0,W8-Assumptions!$B$43)/Assumptions!$B$42,0)-0),0)*Assumptions!$B$44/12+IF(W4&gt;=13,ROUNDUP(W7/Assumptions!$B$45,0)*Assumptions!$B$46/12,0)</f>
        <v>13333.3333333333</v>
      </c>
      <c r="X24" s="11" t="n">
        <f aca="false">0+IF(X4&gt;=Assumptions!$B$35,MAX(0,ROUNDUP(MAX(0,X8-Assumptions!$B$43)/Assumptions!$B$42,0)-0),0)*Assumptions!$B$44/12+IF(X4&gt;=13,ROUNDUP(X7/Assumptions!$B$45,0)*Assumptions!$B$46/12,0)</f>
        <v>13333.3333333333</v>
      </c>
      <c r="Y24" s="11" t="n">
        <f aca="false">0+IF(Y4&gt;=Assumptions!$B$35,MAX(0,ROUNDUP(MAX(0,Y8-Assumptions!$B$43)/Assumptions!$B$42,0)-0),0)*Assumptions!$B$44/12+IF(Y4&gt;=13,ROUNDUP(Y7/Assumptions!$B$45,0)*Assumptions!$B$46/12,0)</f>
        <v>13333.3333333333</v>
      </c>
      <c r="Z24" s="11" t="n">
        <f aca="false">0+IF(Z4&gt;=Assumptions!$B$35,MAX(0,ROUNDUP(MAX(0,Z8-Assumptions!$B$43)/Assumptions!$B$42,0)-0),0)*Assumptions!$B$44/12+IF(Z4&gt;=13,ROUNDUP(Z7/Assumptions!$B$45,0)*Assumptions!$B$46/12,0)</f>
        <v>13333.3333333333</v>
      </c>
      <c r="AA24" s="11" t="n">
        <f aca="false">0+IF(AA4&gt;=Assumptions!$B$35,MAX(0,ROUNDUP(MAX(0,AA8-Assumptions!$B$43)/Assumptions!$B$42,0)-0),0)*Assumptions!$B$44/12+IF(AA4&gt;=13,ROUNDUP(AA7/Assumptions!$B$45,0)*Assumptions!$B$46/12,0)</f>
        <v>16666.6666666667</v>
      </c>
      <c r="AB24" s="11" t="n">
        <f aca="false">0+IF(AB4&gt;=Assumptions!$B$35,MAX(0,ROUNDUP(MAX(0,AB8-Assumptions!$B$43)/Assumptions!$B$42,0)-0),0)*Assumptions!$B$44/12+IF(AB4&gt;=13,ROUNDUP(AB7/Assumptions!$B$45,0)*Assumptions!$B$46/12,0)</f>
        <v>20000</v>
      </c>
      <c r="AC24" s="11" t="n">
        <f aca="false">0+IF(AC4&gt;=Assumptions!$B$35,MAX(0,ROUNDUP(MAX(0,AC8-Assumptions!$B$43)/Assumptions!$B$42,0)-0),0)*Assumptions!$B$44/12+IF(AC4&gt;=13,ROUNDUP(AC7/Assumptions!$B$45,0)*Assumptions!$B$46/12,0)</f>
        <v>20000</v>
      </c>
      <c r="AD24" s="11" t="n">
        <f aca="false">0+IF(AD4&gt;=Assumptions!$B$35,MAX(0,ROUNDUP(MAX(0,AD8-Assumptions!$B$43)/Assumptions!$B$42,0)-0),0)*Assumptions!$B$44/12+IF(AD4&gt;=13,ROUNDUP(AD7/Assumptions!$B$45,0)*Assumptions!$B$46/12,0)</f>
        <v>20000</v>
      </c>
      <c r="AE24" s="11" t="n">
        <f aca="false">0+IF(AE4&gt;=Assumptions!$B$35,MAX(0,ROUNDUP(MAX(0,AE8-Assumptions!$B$43)/Assumptions!$B$42,0)-0),0)*Assumptions!$B$44/12+IF(AE4&gt;=13,ROUNDUP(AE7/Assumptions!$B$45,0)*Assumptions!$B$46/12,0)</f>
        <v>20000</v>
      </c>
      <c r="AF24" s="11" t="n">
        <f aca="false">0+IF(AF4&gt;=Assumptions!$B$35,MAX(0,ROUNDUP(MAX(0,AF8-Assumptions!$B$43)/Assumptions!$B$42,0)-0),0)*Assumptions!$B$44/12+IF(AF4&gt;=13,ROUNDUP(AF7/Assumptions!$B$45,0)*Assumptions!$B$46/12,0)</f>
        <v>20000</v>
      </c>
      <c r="AG24" s="11" t="n">
        <f aca="false">0+IF(AG4&gt;=Assumptions!$B$35,MAX(0,ROUNDUP(MAX(0,AG8-Assumptions!$B$43)/Assumptions!$B$42,0)-0),0)*Assumptions!$B$44/12+IF(AG4&gt;=13,ROUNDUP(AG7/Assumptions!$B$45,0)*Assumptions!$B$46/12,0)</f>
        <v>20000</v>
      </c>
      <c r="AH24" s="11" t="n">
        <f aca="false">0+IF(AH4&gt;=Assumptions!$B$35,MAX(0,ROUNDUP(MAX(0,AH8-Assumptions!$B$43)/Assumptions!$B$42,0)-0),0)*Assumptions!$B$44/12+IF(AH4&gt;=13,ROUNDUP(AH7/Assumptions!$B$45,0)*Assumptions!$B$46/12,0)</f>
        <v>20000</v>
      </c>
      <c r="AI24" s="11" t="n">
        <f aca="false">0+IF(AI4&gt;=Assumptions!$B$35,MAX(0,ROUNDUP(MAX(0,AI8-Assumptions!$B$43)/Assumptions!$B$42,0)-0),0)*Assumptions!$B$44/12+IF(AI4&gt;=13,ROUNDUP(AI7/Assumptions!$B$45,0)*Assumptions!$B$46/12,0)</f>
        <v>23333.3333333333</v>
      </c>
      <c r="AJ24" s="11" t="n">
        <f aca="false">0+IF(AJ4&gt;=Assumptions!$B$35,MAX(0,ROUNDUP(MAX(0,AJ8-Assumptions!$B$43)/Assumptions!$B$42,0)-0),0)*Assumptions!$B$44/12+IF(AJ4&gt;=13,ROUNDUP(AJ7/Assumptions!$B$45,0)*Assumptions!$B$46/12,0)</f>
        <v>23333.3333333333</v>
      </c>
      <c r="AK24" s="11" t="n">
        <f aca="false">0+IF(AK4&gt;=Assumptions!$B$35,MAX(0,ROUNDUP(MAX(0,AK8-Assumptions!$B$43)/Assumptions!$B$42,0)-0),0)*Assumptions!$B$44/12+IF(AK4&gt;=13,ROUNDUP(AK7/Assumptions!$B$45,0)*Assumptions!$B$46/12,0)</f>
        <v>23333.3333333333</v>
      </c>
      <c r="AL24" s="2"/>
    </row>
    <row r="25" customFormat="false" ht="15" hidden="false" customHeight="false" outlineLevel="0" collapsed="false">
      <c r="A25" s="21" t="s">
        <v>135</v>
      </c>
      <c r="B25" s="11" t="n">
        <f aca="false">MAX(Assumptions!$B$21,B10*Assumptions!$B$20)</f>
        <v>500</v>
      </c>
      <c r="C25" s="11" t="n">
        <f aca="false">MAX(Assumptions!$B$21,C10*Assumptions!$B$20)</f>
        <v>500</v>
      </c>
      <c r="D25" s="11" t="n">
        <f aca="false">MAX(Assumptions!$B$21,D10*Assumptions!$B$20)</f>
        <v>500</v>
      </c>
      <c r="E25" s="11" t="n">
        <f aca="false">MAX(Assumptions!$B$21,E10*Assumptions!$B$20)</f>
        <v>500</v>
      </c>
      <c r="F25" s="11" t="n">
        <f aca="false">MAX(Assumptions!$B$21,F10*Assumptions!$B$20)</f>
        <v>500</v>
      </c>
      <c r="G25" s="11" t="n">
        <f aca="false">MAX(Assumptions!$B$21,G10*Assumptions!$B$20)</f>
        <v>500</v>
      </c>
      <c r="H25" s="11" t="n">
        <f aca="false">MAX(Assumptions!$B$21,H10*Assumptions!$B$20)</f>
        <v>628.201147832559</v>
      </c>
      <c r="I25" s="11" t="n">
        <f aca="false">MAX(Assumptions!$B$21,I10*Assumptions!$B$20)</f>
        <v>821.919136354234</v>
      </c>
      <c r="J25" s="11" t="n">
        <f aca="false">MAX(Assumptions!$B$21,J10*Assumptions!$B$20)</f>
        <v>1053.69994499069</v>
      </c>
      <c r="K25" s="11" t="n">
        <f aca="false">MAX(Assumptions!$B$21,K10*Assumptions!$B$20)</f>
        <v>1323.16294554078</v>
      </c>
      <c r="L25" s="11" t="n">
        <f aca="false">MAX(Assumptions!$B$21,L10*Assumptions!$B$20)</f>
        <v>1629.93131608538</v>
      </c>
      <c r="M25" s="11" t="n">
        <f aca="false">MAX(Assumptions!$B$21,M10*Assumptions!$B$20)</f>
        <v>1973.63200292452</v>
      </c>
      <c r="N25" s="11" t="n">
        <f aca="false">MAX(Assumptions!$B$21,N10*Assumptions!$B$20)</f>
        <v>2313.89568289528</v>
      </c>
      <c r="O25" s="11" t="n">
        <f aca="false">MAX(Assumptions!$B$21,O10*Assumptions!$B$20)</f>
        <v>2690.75672606632</v>
      </c>
      <c r="P25" s="11" t="n">
        <f aca="false">MAX(Assumptions!$B$21,P10*Assumptions!$B$20)</f>
        <v>3063.84915880566</v>
      </c>
      <c r="Q25" s="11" t="n">
        <f aca="false">MAX(Assumptions!$B$21,Q10*Assumptions!$B$20)</f>
        <v>3473.2106672176</v>
      </c>
      <c r="R25" s="11" t="n">
        <f aca="false">MAX(Assumptions!$B$21,R10*Assumptions!$B$20)</f>
        <v>3878.47856054543</v>
      </c>
      <c r="S25" s="11" t="n">
        <f aca="false">MAX(Assumptions!$B$21,S10*Assumptions!$B$20)</f>
        <v>4319.69377493998</v>
      </c>
      <c r="T25" s="11" t="n">
        <f aca="false">MAX(Assumptions!$B$21,T10*Assumptions!$B$20)</f>
        <v>4756.49683719057</v>
      </c>
      <c r="U25" s="11" t="n">
        <f aca="false">MAX(Assumptions!$B$21,U10*Assumptions!$B$20)</f>
        <v>5228.93186881867</v>
      </c>
      <c r="V25" s="11" t="n">
        <f aca="false">MAX(Assumptions!$B$21,V10*Assumptions!$B$20)</f>
        <v>5696.64255013048</v>
      </c>
      <c r="W25" s="11" t="n">
        <f aca="false">MAX(Assumptions!$B$21,W10*Assumptions!$B$20)</f>
        <v>6199.67612462918</v>
      </c>
      <c r="X25" s="11" t="n">
        <f aca="false">MAX(Assumptions!$B$21,X10*Assumptions!$B$20)</f>
        <v>6697.67936338289</v>
      </c>
      <c r="Y25" s="11" t="n">
        <f aca="false">MAX(Assumptions!$B$21,Y10*Assumptions!$B$20)</f>
        <v>7230.70256974906</v>
      </c>
      <c r="Z25" s="11" t="n">
        <f aca="false">MAX(Assumptions!$B$21,Z10*Assumptions!$B$20)</f>
        <v>7758.39554405157</v>
      </c>
      <c r="AA25" s="11" t="n">
        <f aca="false">MAX(Assumptions!$B$21,AA10*Assumptions!$B$20)</f>
        <v>8320.81158861105</v>
      </c>
      <c r="AB25" s="11" t="n">
        <f aca="false">MAX(Assumptions!$B$21,AB10*Assumptions!$B$20)</f>
        <v>8877.60347272494</v>
      </c>
      <c r="AC25" s="11" t="n">
        <f aca="false">MAX(Assumptions!$B$21,AC10*Assumptions!$B$20)</f>
        <v>9468.82743799769</v>
      </c>
      <c r="AD25" s="11" t="n">
        <f aca="false">MAX(Assumptions!$B$21,AD10*Assumptions!$B$20)</f>
        <v>10054.1391636177</v>
      </c>
      <c r="AE25" s="11" t="n">
        <f aca="false">MAX(Assumptions!$B$21,AE10*Assumptions!$B$20)</f>
        <v>10673.5977719815</v>
      </c>
      <c r="AF25" s="11" t="n">
        <f aca="false">MAX(Assumptions!$B$21,AF10*Assumptions!$B$20)</f>
        <v>11286.8617942617</v>
      </c>
      <c r="AG25" s="11" t="n">
        <f aca="false">MAX(Assumptions!$B$21,AG10*Assumptions!$B$20)</f>
        <v>11933.9931763191</v>
      </c>
      <c r="AH25" s="11" t="n">
        <f aca="false">MAX(Assumptions!$B$21,AH10*Assumptions!$B$20)</f>
        <v>12574.6532445559</v>
      </c>
      <c r="AI25" s="11" t="n">
        <f aca="false">MAX(Assumptions!$B$21,AI10*Assumptions!$B$20)</f>
        <v>13248.9067121104</v>
      </c>
      <c r="AJ25" s="11" t="n">
        <f aca="false">MAX(Assumptions!$B$21,AJ10*Assumptions!$B$20)</f>
        <v>13916.4176449893</v>
      </c>
      <c r="AK25" s="11" t="n">
        <f aca="false">MAX(Assumptions!$B$21,AK10*Assumptions!$B$20)</f>
        <v>14617.2534685394</v>
      </c>
      <c r="AL25" s="2"/>
    </row>
    <row r="26" customFormat="false" ht="15" hidden="false" customHeight="false" outlineLevel="0" collapsed="false">
      <c r="A26" s="21" t="s">
        <v>136</v>
      </c>
      <c r="B26" s="11" t="n">
        <f aca="false">Assumptions!$B$36</f>
        <v>2500</v>
      </c>
      <c r="C26" s="11" t="n">
        <f aca="false">Assumptions!$B$36</f>
        <v>2500</v>
      </c>
      <c r="D26" s="11" t="n">
        <f aca="false">Assumptions!$B$36</f>
        <v>2500</v>
      </c>
      <c r="E26" s="11" t="n">
        <f aca="false">Assumptions!$B$36</f>
        <v>2500</v>
      </c>
      <c r="F26" s="11" t="n">
        <f aca="false">Assumptions!$B$36</f>
        <v>2500</v>
      </c>
      <c r="G26" s="11" t="n">
        <f aca="false">Assumptions!$B$36</f>
        <v>2500</v>
      </c>
      <c r="H26" s="11" t="n">
        <f aca="false">Assumptions!$B$36</f>
        <v>2500</v>
      </c>
      <c r="I26" s="11" t="n">
        <f aca="false">Assumptions!$B$36</f>
        <v>2500</v>
      </c>
      <c r="J26" s="11" t="n">
        <f aca="false">Assumptions!$B$36</f>
        <v>2500</v>
      </c>
      <c r="K26" s="11" t="n">
        <f aca="false">Assumptions!$B$36</f>
        <v>2500</v>
      </c>
      <c r="L26" s="11" t="n">
        <f aca="false">Assumptions!$B$36</f>
        <v>2500</v>
      </c>
      <c r="M26" s="11" t="n">
        <f aca="false">Assumptions!$B$36</f>
        <v>2500</v>
      </c>
      <c r="N26" s="11" t="n">
        <f aca="false">Assumptions!$B$36</f>
        <v>2500</v>
      </c>
      <c r="O26" s="11" t="n">
        <f aca="false">Assumptions!$B$36</f>
        <v>2500</v>
      </c>
      <c r="P26" s="11" t="n">
        <f aca="false">Assumptions!$B$36</f>
        <v>2500</v>
      </c>
      <c r="Q26" s="11" t="n">
        <f aca="false">Assumptions!$B$36</f>
        <v>2500</v>
      </c>
      <c r="R26" s="11" t="n">
        <f aca="false">Assumptions!$B$36</f>
        <v>2500</v>
      </c>
      <c r="S26" s="11" t="n">
        <f aca="false">Assumptions!$B$36</f>
        <v>2500</v>
      </c>
      <c r="T26" s="11" t="n">
        <f aca="false">Assumptions!$B$36</f>
        <v>2500</v>
      </c>
      <c r="U26" s="11" t="n">
        <f aca="false">Assumptions!$B$36</f>
        <v>2500</v>
      </c>
      <c r="V26" s="11" t="n">
        <f aca="false">Assumptions!$B$36</f>
        <v>2500</v>
      </c>
      <c r="W26" s="11" t="n">
        <f aca="false">Assumptions!$B$36</f>
        <v>2500</v>
      </c>
      <c r="X26" s="11" t="n">
        <f aca="false">Assumptions!$B$36</f>
        <v>2500</v>
      </c>
      <c r="Y26" s="11" t="n">
        <f aca="false">Assumptions!$B$36</f>
        <v>2500</v>
      </c>
      <c r="Z26" s="11" t="n">
        <f aca="false">Assumptions!$B$36</f>
        <v>2500</v>
      </c>
      <c r="AA26" s="11" t="n">
        <f aca="false">Assumptions!$B$36</f>
        <v>2500</v>
      </c>
      <c r="AB26" s="11" t="n">
        <f aca="false">Assumptions!$B$36</f>
        <v>2500</v>
      </c>
      <c r="AC26" s="11" t="n">
        <f aca="false">Assumptions!$B$36</f>
        <v>2500</v>
      </c>
      <c r="AD26" s="11" t="n">
        <f aca="false">Assumptions!$B$36</f>
        <v>2500</v>
      </c>
      <c r="AE26" s="11" t="n">
        <f aca="false">Assumptions!$B$36</f>
        <v>2500</v>
      </c>
      <c r="AF26" s="11" t="n">
        <f aca="false">Assumptions!$B$36</f>
        <v>2500</v>
      </c>
      <c r="AG26" s="11" t="n">
        <f aca="false">Assumptions!$B$36</f>
        <v>2500</v>
      </c>
      <c r="AH26" s="11" t="n">
        <f aca="false">Assumptions!$B$36</f>
        <v>2500</v>
      </c>
      <c r="AI26" s="11" t="n">
        <f aca="false">Assumptions!$B$36</f>
        <v>2500</v>
      </c>
      <c r="AJ26" s="11" t="n">
        <f aca="false">Assumptions!$B$36</f>
        <v>2500</v>
      </c>
      <c r="AK26" s="11" t="n">
        <f aca="false">Assumptions!$B$36</f>
        <v>2500</v>
      </c>
      <c r="AL26" s="2"/>
    </row>
    <row r="27" customFormat="false" ht="15" hidden="false" customHeight="false" outlineLevel="0" collapsed="false">
      <c r="A27" s="21" t="s">
        <v>137</v>
      </c>
      <c r="B27" s="11" t="n">
        <f aca="false">Assumptions!$B$38/12</f>
        <v>4000</v>
      </c>
      <c r="C27" s="11" t="n">
        <f aca="false">Assumptions!$B$38/12</f>
        <v>4000</v>
      </c>
      <c r="D27" s="11" t="n">
        <f aca="false">Assumptions!$B$38/12</f>
        <v>4000</v>
      </c>
      <c r="E27" s="11" t="n">
        <f aca="false">Assumptions!$B$38/12</f>
        <v>4000</v>
      </c>
      <c r="F27" s="11" t="n">
        <f aca="false">Assumptions!$B$38/12</f>
        <v>4000</v>
      </c>
      <c r="G27" s="11" t="n">
        <f aca="false">Assumptions!$B$38/12</f>
        <v>4000</v>
      </c>
      <c r="H27" s="11" t="n">
        <f aca="false">Assumptions!$B$38/12</f>
        <v>4000</v>
      </c>
      <c r="I27" s="11" t="n">
        <f aca="false">Assumptions!$B$38/12</f>
        <v>4000</v>
      </c>
      <c r="J27" s="11" t="n">
        <f aca="false">Assumptions!$B$38/12</f>
        <v>4000</v>
      </c>
      <c r="K27" s="11" t="n">
        <f aca="false">Assumptions!$B$38/12</f>
        <v>4000</v>
      </c>
      <c r="L27" s="11" t="n">
        <f aca="false">Assumptions!$B$38/12</f>
        <v>4000</v>
      </c>
      <c r="M27" s="11" t="n">
        <f aca="false">Assumptions!$B$38/12</f>
        <v>4000</v>
      </c>
      <c r="N27" s="11" t="n">
        <f aca="false">Assumptions!$B$38/12</f>
        <v>4000</v>
      </c>
      <c r="O27" s="11" t="n">
        <f aca="false">Assumptions!$B$38/12</f>
        <v>4000</v>
      </c>
      <c r="P27" s="11" t="n">
        <f aca="false">Assumptions!$B$38/12</f>
        <v>4000</v>
      </c>
      <c r="Q27" s="11" t="n">
        <f aca="false">Assumptions!$B$38/12</f>
        <v>4000</v>
      </c>
      <c r="R27" s="11" t="n">
        <f aca="false">Assumptions!$B$38/12</f>
        <v>4000</v>
      </c>
      <c r="S27" s="11" t="n">
        <f aca="false">Assumptions!$B$38/12</f>
        <v>4000</v>
      </c>
      <c r="T27" s="11" t="n">
        <f aca="false">Assumptions!$B$38/12</f>
        <v>4000</v>
      </c>
      <c r="U27" s="11" t="n">
        <f aca="false">Assumptions!$B$38/12</f>
        <v>4000</v>
      </c>
      <c r="V27" s="11" t="n">
        <f aca="false">Assumptions!$B$38/12</f>
        <v>4000</v>
      </c>
      <c r="W27" s="11" t="n">
        <f aca="false">Assumptions!$B$38/12</f>
        <v>4000</v>
      </c>
      <c r="X27" s="11" t="n">
        <f aca="false">Assumptions!$B$38/12</f>
        <v>4000</v>
      </c>
      <c r="Y27" s="11" t="n">
        <f aca="false">Assumptions!$B$38/12</f>
        <v>4000</v>
      </c>
      <c r="Z27" s="11" t="n">
        <f aca="false">Assumptions!$B$38/12</f>
        <v>4000</v>
      </c>
      <c r="AA27" s="11" t="n">
        <f aca="false">Assumptions!$B$38/12</f>
        <v>4000</v>
      </c>
      <c r="AB27" s="11" t="n">
        <f aca="false">Assumptions!$B$38/12</f>
        <v>4000</v>
      </c>
      <c r="AC27" s="11" t="n">
        <f aca="false">Assumptions!$B$38/12</f>
        <v>4000</v>
      </c>
      <c r="AD27" s="11" t="n">
        <f aca="false">Assumptions!$B$38/12</f>
        <v>4000</v>
      </c>
      <c r="AE27" s="11" t="n">
        <f aca="false">Assumptions!$B$38/12</f>
        <v>4000</v>
      </c>
      <c r="AF27" s="11" t="n">
        <f aca="false">Assumptions!$B$38/12</f>
        <v>4000</v>
      </c>
      <c r="AG27" s="11" t="n">
        <f aca="false">Assumptions!$B$38/12</f>
        <v>4000</v>
      </c>
      <c r="AH27" s="11" t="n">
        <f aca="false">Assumptions!$B$38/12</f>
        <v>4000</v>
      </c>
      <c r="AI27" s="11" t="n">
        <f aca="false">Assumptions!$B$38/12</f>
        <v>4000</v>
      </c>
      <c r="AJ27" s="11" t="n">
        <f aca="false">Assumptions!$B$38/12</f>
        <v>4000</v>
      </c>
      <c r="AK27" s="11" t="n">
        <f aca="false">Assumptions!$B$38/12</f>
        <v>4000</v>
      </c>
      <c r="AL27" s="2"/>
    </row>
    <row r="28" customFormat="false" ht="15" hidden="false" customHeight="false" outlineLevel="0" collapsed="false">
      <c r="A28" s="10" t="s">
        <v>138</v>
      </c>
      <c r="B28" s="24" t="n">
        <f aca="false">SUM(B20:B27)</f>
        <v>7000</v>
      </c>
      <c r="C28" s="24" t="n">
        <f aca="false">SUM(C20:C27)</f>
        <v>12333.3333333333</v>
      </c>
      <c r="D28" s="24" t="n">
        <f aca="false">SUM(D20:D27)</f>
        <v>34000</v>
      </c>
      <c r="E28" s="24" t="n">
        <f aca="false">SUM(E20:E27)</f>
        <v>34000</v>
      </c>
      <c r="F28" s="24" t="n">
        <f aca="false">SUM(F20:F27)</f>
        <v>34000</v>
      </c>
      <c r="G28" s="24" t="n">
        <f aca="false">SUM(G20:G27)</f>
        <v>37333.3333333333</v>
      </c>
      <c r="H28" s="24" t="n">
        <f aca="false">SUM(H20:H27)</f>
        <v>37461.5344811659</v>
      </c>
      <c r="I28" s="24" t="n">
        <f aca="false">SUM(I20:I27)</f>
        <v>37655.2524696876</v>
      </c>
      <c r="J28" s="24" t="n">
        <f aca="false">SUM(J20:J27)</f>
        <v>37887.033278324</v>
      </c>
      <c r="K28" s="24" t="n">
        <f aca="false">SUM(K20:K27)</f>
        <v>38156.4962788741</v>
      </c>
      <c r="L28" s="24" t="n">
        <f aca="false">SUM(L20:L27)</f>
        <v>38463.2646494187</v>
      </c>
      <c r="M28" s="24" t="n">
        <f aca="false">SUM(M20:M27)</f>
        <v>44140.2986695912</v>
      </c>
      <c r="N28" s="24" t="n">
        <f aca="false">SUM(N20:N27)</f>
        <v>59647.2290162286</v>
      </c>
      <c r="O28" s="24" t="n">
        <f aca="false">SUM(O20:O27)</f>
        <v>64857.423392733</v>
      </c>
      <c r="P28" s="24" t="n">
        <f aca="false">SUM(P20:P27)</f>
        <v>65230.5158254723</v>
      </c>
      <c r="Q28" s="24" t="n">
        <f aca="false">SUM(Q20:Q27)</f>
        <v>67139.8773338843</v>
      </c>
      <c r="R28" s="24" t="n">
        <f aca="false">SUM(R20:R27)</f>
        <v>67545.1452272121</v>
      </c>
      <c r="S28" s="24" t="n">
        <f aca="false">SUM(S20:S27)</f>
        <v>69486.3604416066</v>
      </c>
      <c r="T28" s="24" t="n">
        <f aca="false">SUM(T20:T27)</f>
        <v>73256.4968371906</v>
      </c>
      <c r="U28" s="24" t="n">
        <f aca="false">SUM(U20:U27)</f>
        <v>75228.9318688187</v>
      </c>
      <c r="V28" s="24" t="n">
        <f aca="false">SUM(V20:V27)</f>
        <v>75696.6425501305</v>
      </c>
      <c r="W28" s="24" t="n">
        <f aca="false">SUM(W20:W27)</f>
        <v>77699.6761246292</v>
      </c>
      <c r="X28" s="24" t="n">
        <f aca="false">SUM(X20:X27)</f>
        <v>78197.6793633829</v>
      </c>
      <c r="Y28" s="24" t="n">
        <f aca="false">SUM(Y20:Y27)</f>
        <v>80230.7025697491</v>
      </c>
      <c r="Z28" s="24" t="n">
        <f aca="false">SUM(Z20:Z27)</f>
        <v>80758.3955440516</v>
      </c>
      <c r="AA28" s="24" t="n">
        <f aca="false">SUM(AA20:AA27)</f>
        <v>86154.1449219444</v>
      </c>
      <c r="AB28" s="24" t="n">
        <f aca="false">SUM(AB20:AB27)</f>
        <v>90044.2701393916</v>
      </c>
      <c r="AC28" s="24" t="n">
        <f aca="false">SUM(AC20:AC27)</f>
        <v>97468.8274379977</v>
      </c>
      <c r="AD28" s="24" t="n">
        <f aca="false">SUM(AD20:AD27)</f>
        <v>98054.1391636177</v>
      </c>
      <c r="AE28" s="24" t="n">
        <f aca="false">SUM(AE20:AE27)</f>
        <v>100173.597771982</v>
      </c>
      <c r="AF28" s="24" t="n">
        <f aca="false">SUM(AF20:AF27)</f>
        <v>100786.861794262</v>
      </c>
      <c r="AG28" s="24" t="n">
        <f aca="false">SUM(AG20:AG27)</f>
        <v>102933.993176319</v>
      </c>
      <c r="AH28" s="24" t="n">
        <f aca="false">SUM(AH20:AH27)</f>
        <v>103574.653244556</v>
      </c>
      <c r="AI28" s="24" t="n">
        <f aca="false">SUM(AI20:AI27)</f>
        <v>109082.240045444</v>
      </c>
      <c r="AJ28" s="24" t="n">
        <f aca="false">SUM(AJ20:AJ27)</f>
        <v>109749.750978323</v>
      </c>
      <c r="AK28" s="24" t="n">
        <f aca="false">SUM(AK20:AK27)</f>
        <v>111950.586801873</v>
      </c>
      <c r="AL28" s="2"/>
    </row>
    <row r="29" customFormat="false" ht="15" hidden="false" customHeight="false" outlineLevel="0" collapsed="false">
      <c r="A29" s="4" t="s">
        <v>139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customFormat="false" ht="15" hidden="false" customHeight="false" outlineLevel="0" collapsed="false">
      <c r="A30" s="21" t="s">
        <v>140</v>
      </c>
      <c r="B30" s="11" t="n">
        <f aca="false">B18-B28</f>
        <v>-3900.112</v>
      </c>
      <c r="C30" s="11" t="n">
        <f aca="false">C18-C28</f>
        <v>-9264.44421333333</v>
      </c>
      <c r="D30" s="11" t="n">
        <f aca="false">D18-D28</f>
        <v>-30961.7997712</v>
      </c>
      <c r="E30" s="11" t="n">
        <f aca="false">E18-E28</f>
        <v>-20623.181773488</v>
      </c>
      <c r="F30" s="11" t="n">
        <f aca="false">F18-F28</f>
        <v>-13123.4499557531</v>
      </c>
      <c r="G30" s="11" t="n">
        <f aca="false">G18-G28</f>
        <v>-7807.54878952893</v>
      </c>
      <c r="H30" s="11" t="n">
        <f aca="false">H18-H28</f>
        <v>1851.49221720047</v>
      </c>
      <c r="I30" s="11" t="n">
        <f aca="false">I18-I28</f>
        <v>7387.14396169513</v>
      </c>
      <c r="J30" s="11" t="n">
        <f aca="false">J18-J28</f>
        <v>18011.9391887449</v>
      </c>
      <c r="K30" s="11" t="n">
        <f aca="false">K18-K28</f>
        <v>30394.7864635241</v>
      </c>
      <c r="L30" s="11" t="n">
        <f aca="false">L18-L28</f>
        <v>43158.5052655555</v>
      </c>
      <c r="M30" s="11" t="n">
        <f aca="false">M18-M28</f>
        <v>51645.7535462333</v>
      </c>
      <c r="N30" s="11" t="n">
        <f aca="false">N18-N28</f>
        <v>53186.3318468042</v>
      </c>
      <c r="O30" s="11" t="n">
        <f aca="false">O18-O28</f>
        <v>63857.8018616695</v>
      </c>
      <c r="P30" s="11" t="n">
        <f aca="false">P18-P28</f>
        <v>75247.5571763862</v>
      </c>
      <c r="Q30" s="11" t="n">
        <f aca="false">Q18-Q28</f>
        <v>90248.4149379557</v>
      </c>
      <c r="R30" s="11" t="n">
        <f aca="false">R18-R28</f>
        <v>102624.264121909</v>
      </c>
      <c r="S30" s="11" t="n">
        <f aca="false">S18-S28</f>
        <v>118601.354814024</v>
      </c>
      <c r="T30" s="11" t="n">
        <f aca="false">T18-T28</f>
        <v>128610.341265883</v>
      </c>
      <c r="U30" s="11" t="n">
        <f aca="false">U18-U28</f>
        <v>145544.237853225</v>
      </c>
      <c r="V30" s="11" t="n">
        <f aca="false">V18-V28</f>
        <v>159833.795474692</v>
      </c>
      <c r="W30" s="11" t="n">
        <f aca="false">W18-W28</f>
        <v>177705.457519945</v>
      </c>
      <c r="X30" s="11" t="n">
        <f aca="false">X18-X28</f>
        <v>192923.402944746</v>
      </c>
      <c r="Y30" s="11" t="n">
        <f aca="false">Y18-Y28</f>
        <v>211714.168915299</v>
      </c>
      <c r="Z30" s="11" t="n">
        <f aca="false">Z18-Z28</f>
        <v>244611.255743917</v>
      </c>
      <c r="AA30" s="11" t="n">
        <f aca="false">AA18-AA28</f>
        <v>261537.809853145</v>
      </c>
      <c r="AB30" s="11" t="n">
        <f aca="false">AB18-AB28</f>
        <v>275786.765087947</v>
      </c>
      <c r="AC30" s="11" t="n">
        <f aca="false">AC18-AC28</f>
        <v>291630.897437067</v>
      </c>
      <c r="AD30" s="11" t="n">
        <f aca="false">AD18-AD28</f>
        <v>310121.588462696</v>
      </c>
      <c r="AE30" s="11" t="n">
        <f aca="false">AE18-AE28</f>
        <v>332198.372578069</v>
      </c>
      <c r="AF30" s="11" t="n">
        <f aca="false">AF18-AF28</f>
        <v>351579.388852289</v>
      </c>
      <c r="AG30" s="11" t="n">
        <f aca="false">AG18-AG28</f>
        <v>374537.594963766</v>
      </c>
      <c r="AH30" s="11" t="n">
        <f aca="false">AH18-AH28</f>
        <v>394791.219014128</v>
      </c>
      <c r="AI30" s="11" t="n">
        <f aca="false">AI18-AI28</f>
        <v>415279.973490653</v>
      </c>
      <c r="AJ30" s="11" t="n">
        <f aca="false">AJ18-AJ28</f>
        <v>436388.840422414</v>
      </c>
      <c r="AK30" s="11" t="n">
        <f aca="false">AK18-AK28</f>
        <v>461057.618684856</v>
      </c>
      <c r="AL30" s="2"/>
    </row>
    <row r="31" customFormat="false" ht="15" hidden="false" customHeight="false" outlineLevel="0" collapsed="false">
      <c r="A31" s="21" t="s">
        <v>141</v>
      </c>
      <c r="B31" s="11" t="n">
        <f aca="false">IF(B4=Assumptions!$B$23,Assumptions!$B$24,0)</f>
        <v>500000</v>
      </c>
      <c r="C31" s="11" t="n">
        <f aca="false">IF(C4=Assumptions!$B$23,Assumptions!$B$24,0)</f>
        <v>0</v>
      </c>
      <c r="D31" s="11" t="n">
        <f aca="false">IF(D4=Assumptions!$B$23,Assumptions!$B$24,0)</f>
        <v>0</v>
      </c>
      <c r="E31" s="11" t="n">
        <f aca="false">IF(E4=Assumptions!$B$23,Assumptions!$B$24,0)</f>
        <v>0</v>
      </c>
      <c r="F31" s="11" t="n">
        <f aca="false">IF(F4=Assumptions!$B$23,Assumptions!$B$24,0)</f>
        <v>0</v>
      </c>
      <c r="G31" s="11" t="n">
        <f aca="false">IF(G4=Assumptions!$B$23,Assumptions!$B$24,0)</f>
        <v>0</v>
      </c>
      <c r="H31" s="11" t="n">
        <f aca="false">IF(H4=Assumptions!$B$23,Assumptions!$B$24,0)</f>
        <v>0</v>
      </c>
      <c r="I31" s="11" t="n">
        <f aca="false">IF(I4=Assumptions!$B$23,Assumptions!$B$24,0)</f>
        <v>0</v>
      </c>
      <c r="J31" s="11" t="n">
        <f aca="false">IF(J4=Assumptions!$B$23,Assumptions!$B$24,0)</f>
        <v>0</v>
      </c>
      <c r="K31" s="11" t="n">
        <f aca="false">IF(K4=Assumptions!$B$23,Assumptions!$B$24,0)</f>
        <v>0</v>
      </c>
      <c r="L31" s="11" t="n">
        <f aca="false">IF(L4=Assumptions!$B$23,Assumptions!$B$24,0)</f>
        <v>0</v>
      </c>
      <c r="M31" s="11" t="n">
        <f aca="false">IF(M4=Assumptions!$B$23,Assumptions!$B$24,0)</f>
        <v>0</v>
      </c>
      <c r="N31" s="11" t="n">
        <f aca="false">IF(N4=Assumptions!$B$23,Assumptions!$B$24,0)</f>
        <v>0</v>
      </c>
      <c r="O31" s="11" t="n">
        <f aca="false">IF(O4=Assumptions!$B$23,Assumptions!$B$24,0)</f>
        <v>0</v>
      </c>
      <c r="P31" s="11" t="n">
        <f aca="false">IF(P4=Assumptions!$B$23,Assumptions!$B$24,0)</f>
        <v>0</v>
      </c>
      <c r="Q31" s="11" t="n">
        <f aca="false">IF(Q4=Assumptions!$B$23,Assumptions!$B$24,0)</f>
        <v>0</v>
      </c>
      <c r="R31" s="11" t="n">
        <f aca="false">IF(R4=Assumptions!$B$23,Assumptions!$B$24,0)</f>
        <v>0</v>
      </c>
      <c r="S31" s="11" t="n">
        <f aca="false">IF(S4=Assumptions!$B$23,Assumptions!$B$24,0)</f>
        <v>0</v>
      </c>
      <c r="T31" s="11" t="n">
        <f aca="false">IF(T4=Assumptions!$B$23,Assumptions!$B$24,0)</f>
        <v>0</v>
      </c>
      <c r="U31" s="11" t="n">
        <f aca="false">IF(U4=Assumptions!$B$23,Assumptions!$B$24,0)</f>
        <v>0</v>
      </c>
      <c r="V31" s="11" t="n">
        <f aca="false">IF(V4=Assumptions!$B$23,Assumptions!$B$24,0)</f>
        <v>0</v>
      </c>
      <c r="W31" s="11" t="n">
        <f aca="false">IF(W4=Assumptions!$B$23,Assumptions!$B$24,0)</f>
        <v>0</v>
      </c>
      <c r="X31" s="11" t="n">
        <f aca="false">IF(X4=Assumptions!$B$23,Assumptions!$B$24,0)</f>
        <v>0</v>
      </c>
      <c r="Y31" s="11" t="n">
        <f aca="false">IF(Y4=Assumptions!$B$23,Assumptions!$B$24,0)</f>
        <v>0</v>
      </c>
      <c r="Z31" s="11" t="n">
        <f aca="false">IF(Z4=Assumptions!$B$23,Assumptions!$B$24,0)</f>
        <v>0</v>
      </c>
      <c r="AA31" s="11" t="n">
        <f aca="false">IF(AA4=Assumptions!$B$23,Assumptions!$B$24,0)</f>
        <v>0</v>
      </c>
      <c r="AB31" s="11" t="n">
        <f aca="false">IF(AB4=Assumptions!$B$23,Assumptions!$B$24,0)</f>
        <v>0</v>
      </c>
      <c r="AC31" s="11" t="n">
        <f aca="false">IF(AC4=Assumptions!$B$23,Assumptions!$B$24,0)</f>
        <v>0</v>
      </c>
      <c r="AD31" s="11" t="n">
        <f aca="false">IF(AD4=Assumptions!$B$23,Assumptions!$B$24,0)</f>
        <v>0</v>
      </c>
      <c r="AE31" s="11" t="n">
        <f aca="false">IF(AE4=Assumptions!$B$23,Assumptions!$B$24,0)</f>
        <v>0</v>
      </c>
      <c r="AF31" s="11" t="n">
        <f aca="false">IF(AF4=Assumptions!$B$23,Assumptions!$B$24,0)</f>
        <v>0</v>
      </c>
      <c r="AG31" s="11" t="n">
        <f aca="false">IF(AG4=Assumptions!$B$23,Assumptions!$B$24,0)</f>
        <v>0</v>
      </c>
      <c r="AH31" s="11" t="n">
        <f aca="false">IF(AH4=Assumptions!$B$23,Assumptions!$B$24,0)</f>
        <v>0</v>
      </c>
      <c r="AI31" s="11" t="n">
        <f aca="false">IF(AI4=Assumptions!$B$23,Assumptions!$B$24,0)</f>
        <v>0</v>
      </c>
      <c r="AJ31" s="11" t="n">
        <f aca="false">IF(AJ4=Assumptions!$B$23,Assumptions!$B$24,0)</f>
        <v>0</v>
      </c>
      <c r="AK31" s="11" t="n">
        <f aca="false">IF(AK4=Assumptions!$B$23,Assumptions!$B$24,0)</f>
        <v>0</v>
      </c>
      <c r="AL31" s="2"/>
    </row>
    <row r="32" customFormat="false" ht="15" hidden="false" customHeight="false" outlineLevel="0" collapsed="false">
      <c r="A32" s="10" t="s">
        <v>142</v>
      </c>
      <c r="B32" s="24" t="n">
        <f aca="false">B30+B31</f>
        <v>496099.888</v>
      </c>
      <c r="C32" s="24" t="n">
        <f aca="false">B32+C30+C31</f>
        <v>486835.443786667</v>
      </c>
      <c r="D32" s="24" t="n">
        <f aca="false">C32+D30+D31</f>
        <v>455873.644015467</v>
      </c>
      <c r="E32" s="24" t="n">
        <f aca="false">D32+E30+E31</f>
        <v>435250.462241979</v>
      </c>
      <c r="F32" s="24" t="n">
        <f aca="false">E32+F30+F31</f>
        <v>422127.012286226</v>
      </c>
      <c r="G32" s="24" t="n">
        <f aca="false">F32+G30+G31</f>
        <v>414319.463496697</v>
      </c>
      <c r="H32" s="24" t="n">
        <f aca="false">G32+H30+H31</f>
        <v>416170.955713897</v>
      </c>
      <c r="I32" s="24" t="n">
        <f aca="false">H32+I30+I31</f>
        <v>423558.099675592</v>
      </c>
      <c r="J32" s="24" t="n">
        <f aca="false">I32+J30+J31</f>
        <v>441570.038864337</v>
      </c>
      <c r="K32" s="24" t="n">
        <f aca="false">J32+K30+K31</f>
        <v>471964.825327861</v>
      </c>
      <c r="L32" s="24" t="n">
        <f aca="false">K32+L30+L31</f>
        <v>515123.330593417</v>
      </c>
      <c r="M32" s="24" t="n">
        <f aca="false">L32+M30+M31</f>
        <v>566769.08413965</v>
      </c>
      <c r="N32" s="24" t="n">
        <f aca="false">M32+N30+N31</f>
        <v>619955.415986454</v>
      </c>
      <c r="O32" s="24" t="n">
        <f aca="false">N32+O30+O31</f>
        <v>683813.217848124</v>
      </c>
      <c r="P32" s="24" t="n">
        <f aca="false">O32+P30+P31</f>
        <v>759060.77502451</v>
      </c>
      <c r="Q32" s="24" t="n">
        <f aca="false">P32+Q30+Q31</f>
        <v>849309.189962466</v>
      </c>
      <c r="R32" s="24" t="n">
        <f aca="false">Q32+R30+R31</f>
        <v>951933.454084375</v>
      </c>
      <c r="S32" s="24" t="n">
        <f aca="false">R32+S30+S31</f>
        <v>1070534.8088984</v>
      </c>
      <c r="T32" s="24" t="n">
        <f aca="false">S32+T30+T31</f>
        <v>1199145.15016428</v>
      </c>
      <c r="U32" s="24" t="n">
        <f aca="false">T32+U30+U31</f>
        <v>1344689.38801751</v>
      </c>
      <c r="V32" s="24" t="n">
        <f aca="false">U32+V30+V31</f>
        <v>1504523.1834922</v>
      </c>
      <c r="W32" s="24" t="n">
        <f aca="false">V32+W30+W31</f>
        <v>1682228.64101214</v>
      </c>
      <c r="X32" s="24" t="n">
        <f aca="false">W32+X30+X31</f>
        <v>1875152.04395689</v>
      </c>
      <c r="Y32" s="24" t="n">
        <f aca="false">X32+Y30+Y31</f>
        <v>2086866.21287219</v>
      </c>
      <c r="Z32" s="24" t="n">
        <f aca="false">Y32+Z30+Z31</f>
        <v>2331477.46861611</v>
      </c>
      <c r="AA32" s="24" t="n">
        <f aca="false">Z32+AA30+AA31</f>
        <v>2593015.27846925</v>
      </c>
      <c r="AB32" s="24" t="n">
        <f aca="false">AA32+AB30+AB31</f>
        <v>2868802.0435572</v>
      </c>
      <c r="AC32" s="24" t="n">
        <f aca="false">AB32+AC30+AC31</f>
        <v>3160432.94099426</v>
      </c>
      <c r="AD32" s="24" t="n">
        <f aca="false">AC32+AD30+AD31</f>
        <v>3470554.52945696</v>
      </c>
      <c r="AE32" s="24" t="n">
        <f aca="false">AD32+AE30+AE31</f>
        <v>3802752.90203503</v>
      </c>
      <c r="AF32" s="24" t="n">
        <f aca="false">AE32+AF30+AF31</f>
        <v>4154332.29088732</v>
      </c>
      <c r="AG32" s="24" t="n">
        <f aca="false">AF32+AG30+AG31</f>
        <v>4528869.88585108</v>
      </c>
      <c r="AH32" s="24" t="n">
        <f aca="false">AG32+AH30+AH31</f>
        <v>4923661.10486521</v>
      </c>
      <c r="AI32" s="24" t="n">
        <f aca="false">AH32+AI30+AI31</f>
        <v>5338941.07835587</v>
      </c>
      <c r="AJ32" s="24" t="n">
        <f aca="false">AI32+AJ30+AJ31</f>
        <v>5775329.91877828</v>
      </c>
      <c r="AK32" s="24" t="n">
        <f aca="false">AJ32+AK30+AK31</f>
        <v>6236387.53746313</v>
      </c>
      <c r="AL3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7" min="2" style="0" width="12"/>
  </cols>
  <sheetData>
    <row r="1" customFormat="false" ht="17.35" hidden="false" customHeight="false" outlineLevel="0" collapsed="false">
      <c r="A1" s="1" t="s">
        <v>143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customFormat="false" ht="15" hidden="false" customHeight="false" outlineLevel="0" collapsed="false">
      <c r="A2" s="3" t="s">
        <v>114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customFormat="false" ht="15" hidden="false" customHeight="false" outlineLevel="0" collapsed="false">
      <c r="A4" s="10" t="s">
        <v>108</v>
      </c>
      <c r="B4" s="10" t="n">
        <v>1</v>
      </c>
      <c r="C4" s="10" t="n">
        <v>2</v>
      </c>
      <c r="D4" s="10" t="n">
        <v>3</v>
      </c>
      <c r="E4" s="10" t="n">
        <v>4</v>
      </c>
      <c r="F4" s="10" t="n">
        <v>5</v>
      </c>
      <c r="G4" s="10" t="n">
        <v>6</v>
      </c>
      <c r="H4" s="10" t="n">
        <v>7</v>
      </c>
      <c r="I4" s="10" t="n">
        <v>8</v>
      </c>
      <c r="J4" s="10" t="n">
        <v>9</v>
      </c>
      <c r="K4" s="10" t="n">
        <v>10</v>
      </c>
      <c r="L4" s="10" t="n">
        <v>11</v>
      </c>
      <c r="M4" s="10" t="n">
        <v>12</v>
      </c>
      <c r="N4" s="10" t="n">
        <v>13</v>
      </c>
      <c r="O4" s="10" t="n">
        <v>14</v>
      </c>
      <c r="P4" s="10" t="n">
        <v>15</v>
      </c>
      <c r="Q4" s="10" t="n">
        <v>16</v>
      </c>
      <c r="R4" s="10" t="n">
        <v>17</v>
      </c>
      <c r="S4" s="10" t="n">
        <v>18</v>
      </c>
      <c r="T4" s="10" t="n">
        <v>19</v>
      </c>
      <c r="U4" s="10" t="n">
        <v>20</v>
      </c>
      <c r="V4" s="10" t="n">
        <v>21</v>
      </c>
      <c r="W4" s="10" t="n">
        <v>22</v>
      </c>
      <c r="X4" s="10" t="n">
        <v>23</v>
      </c>
      <c r="Y4" s="10" t="n">
        <v>24</v>
      </c>
      <c r="Z4" s="10" t="n">
        <v>25</v>
      </c>
      <c r="AA4" s="10" t="n">
        <v>26</v>
      </c>
      <c r="AB4" s="10" t="n">
        <v>27</v>
      </c>
      <c r="AC4" s="10" t="n">
        <v>28</v>
      </c>
      <c r="AD4" s="10" t="n">
        <v>29</v>
      </c>
      <c r="AE4" s="10" t="n">
        <v>30</v>
      </c>
      <c r="AF4" s="10" t="n">
        <v>31</v>
      </c>
      <c r="AG4" s="10" t="n">
        <v>32</v>
      </c>
      <c r="AH4" s="10" t="n">
        <v>33</v>
      </c>
      <c r="AI4" s="10" t="n">
        <v>34</v>
      </c>
      <c r="AJ4" s="10" t="n">
        <v>35</v>
      </c>
      <c r="AK4" s="10" t="n">
        <v>36</v>
      </c>
      <c r="AL4" s="2"/>
    </row>
    <row r="5" customFormat="false" ht="15" hidden="false" customHeight="false" outlineLevel="0" collapsed="false">
      <c r="A5" s="10" t="s">
        <v>115</v>
      </c>
      <c r="B5" s="20" t="n">
        <f aca="false">EDATE(Assumptions!$B$5,B4-1)</f>
        <v>46327</v>
      </c>
      <c r="C5" s="20" t="n">
        <f aca="false">EDATE(Assumptions!$B$5,C4-1)</f>
        <v>46357</v>
      </c>
      <c r="D5" s="20" t="n">
        <f aca="false">EDATE(Assumptions!$B$5,D4-1)</f>
        <v>46388</v>
      </c>
      <c r="E5" s="20" t="n">
        <f aca="false">EDATE(Assumptions!$B$5,E4-1)</f>
        <v>46419</v>
      </c>
      <c r="F5" s="20" t="n">
        <f aca="false">EDATE(Assumptions!$B$5,F4-1)</f>
        <v>46447</v>
      </c>
      <c r="G5" s="20" t="n">
        <f aca="false">EDATE(Assumptions!$B$5,G4-1)</f>
        <v>46478</v>
      </c>
      <c r="H5" s="20" t="n">
        <f aca="false">EDATE(Assumptions!$B$5,H4-1)</f>
        <v>46508</v>
      </c>
      <c r="I5" s="20" t="n">
        <f aca="false">EDATE(Assumptions!$B$5,I4-1)</f>
        <v>46539</v>
      </c>
      <c r="J5" s="20" t="n">
        <f aca="false">EDATE(Assumptions!$B$5,J4-1)</f>
        <v>46569</v>
      </c>
      <c r="K5" s="20" t="n">
        <f aca="false">EDATE(Assumptions!$B$5,K4-1)</f>
        <v>46600</v>
      </c>
      <c r="L5" s="20" t="n">
        <f aca="false">EDATE(Assumptions!$B$5,L4-1)</f>
        <v>46631</v>
      </c>
      <c r="M5" s="20" t="n">
        <f aca="false">EDATE(Assumptions!$B$5,M4-1)</f>
        <v>46661</v>
      </c>
      <c r="N5" s="20" t="n">
        <f aca="false">EDATE(Assumptions!$B$5,N4-1)</f>
        <v>46692</v>
      </c>
      <c r="O5" s="20" t="n">
        <f aca="false">EDATE(Assumptions!$B$5,O4-1)</f>
        <v>46722</v>
      </c>
      <c r="P5" s="20" t="n">
        <f aca="false">EDATE(Assumptions!$B$5,P4-1)</f>
        <v>46753</v>
      </c>
      <c r="Q5" s="20" t="n">
        <f aca="false">EDATE(Assumptions!$B$5,Q4-1)</f>
        <v>46784</v>
      </c>
      <c r="R5" s="20" t="n">
        <f aca="false">EDATE(Assumptions!$B$5,R4-1)</f>
        <v>46813</v>
      </c>
      <c r="S5" s="20" t="n">
        <f aca="false">EDATE(Assumptions!$B$5,S4-1)</f>
        <v>46844</v>
      </c>
      <c r="T5" s="20" t="n">
        <f aca="false">EDATE(Assumptions!$B$5,T4-1)</f>
        <v>46874</v>
      </c>
      <c r="U5" s="20" t="n">
        <f aca="false">EDATE(Assumptions!$B$5,U4-1)</f>
        <v>46905</v>
      </c>
      <c r="V5" s="20" t="n">
        <f aca="false">EDATE(Assumptions!$B$5,V4-1)</f>
        <v>46935</v>
      </c>
      <c r="W5" s="20" t="n">
        <f aca="false">EDATE(Assumptions!$B$5,W4-1)</f>
        <v>46966</v>
      </c>
      <c r="X5" s="20" t="n">
        <f aca="false">EDATE(Assumptions!$B$5,X4-1)</f>
        <v>46997</v>
      </c>
      <c r="Y5" s="20" t="n">
        <f aca="false">EDATE(Assumptions!$B$5,Y4-1)</f>
        <v>47027</v>
      </c>
      <c r="Z5" s="20" t="n">
        <f aca="false">EDATE(Assumptions!$B$5,Z4-1)</f>
        <v>47058</v>
      </c>
      <c r="AA5" s="20" t="n">
        <f aca="false">EDATE(Assumptions!$B$5,AA4-1)</f>
        <v>47088</v>
      </c>
      <c r="AB5" s="20" t="n">
        <f aca="false">EDATE(Assumptions!$B$5,AB4-1)</f>
        <v>47119</v>
      </c>
      <c r="AC5" s="20" t="n">
        <f aca="false">EDATE(Assumptions!$B$5,AC4-1)</f>
        <v>47150</v>
      </c>
      <c r="AD5" s="20" t="n">
        <f aca="false">EDATE(Assumptions!$B$5,AD4-1)</f>
        <v>47178</v>
      </c>
      <c r="AE5" s="20" t="n">
        <f aca="false">EDATE(Assumptions!$B$5,AE4-1)</f>
        <v>47209</v>
      </c>
      <c r="AF5" s="20" t="n">
        <f aca="false">EDATE(Assumptions!$B$5,AF4-1)</f>
        <v>47239</v>
      </c>
      <c r="AG5" s="20" t="n">
        <f aca="false">EDATE(Assumptions!$B$5,AG4-1)</f>
        <v>47270</v>
      </c>
      <c r="AH5" s="20" t="n">
        <f aca="false">EDATE(Assumptions!$B$5,AH4-1)</f>
        <v>47300</v>
      </c>
      <c r="AI5" s="20" t="n">
        <f aca="false">EDATE(Assumptions!$B$5,AI4-1)</f>
        <v>47331</v>
      </c>
      <c r="AJ5" s="20" t="n">
        <f aca="false">EDATE(Assumptions!$B$5,AJ4-1)</f>
        <v>47362</v>
      </c>
      <c r="AK5" s="20" t="n">
        <f aca="false">EDATE(Assumptions!$B$5,AK4-1)</f>
        <v>47392</v>
      </c>
      <c r="AL5" s="2"/>
    </row>
    <row r="6" customFormat="false" ht="15" hidden="false" customHeight="false" outlineLevel="0" collapsed="false">
      <c r="A6" s="4" t="s">
        <v>116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</row>
    <row r="7" customFormat="false" ht="15" hidden="false" customHeight="false" outlineLevel="0" collapsed="false">
      <c r="A7" s="21" t="s">
        <v>117</v>
      </c>
      <c r="B7" s="22" t="n">
        <f aca="false">Assumptions!$B$13</f>
        <v>2</v>
      </c>
      <c r="C7" s="22" t="n">
        <f aca="false">B10</f>
        <v>1.98</v>
      </c>
      <c r="D7" s="22" t="n">
        <f aca="false">C10</f>
        <v>1.9602</v>
      </c>
      <c r="E7" s="22" t="n">
        <f aca="false">D10</f>
        <v>1.940598</v>
      </c>
      <c r="F7" s="22" t="n">
        <f aca="false">E10</f>
        <v>4.92119202</v>
      </c>
      <c r="G7" s="22" t="n">
        <f aca="false">F10</f>
        <v>9.8719800998</v>
      </c>
      <c r="H7" s="22" t="n">
        <f aca="false">G10</f>
        <v>16.773260298802</v>
      </c>
      <c r="I7" s="22" t="n">
        <f aca="false">H10</f>
        <v>24.605527695814</v>
      </c>
      <c r="J7" s="22" t="n">
        <f aca="false">I10</f>
        <v>33.3594724188558</v>
      </c>
      <c r="K7" s="22" t="n">
        <f aca="false">J10</f>
        <v>44.0258776946673</v>
      </c>
      <c r="L7" s="22" t="n">
        <f aca="false">K10</f>
        <v>56.5856189177206</v>
      </c>
      <c r="M7" s="22" t="n">
        <f aca="false">L10</f>
        <v>70.0197627285434</v>
      </c>
      <c r="N7" s="22" t="n">
        <f aca="false">M10</f>
        <v>85.319565101258</v>
      </c>
      <c r="O7" s="22" t="n">
        <f aca="false">N10</f>
        <v>101.466369450245</v>
      </c>
      <c r="P7" s="22" t="n">
        <f aca="false">O10</f>
        <v>119.451705755743</v>
      </c>
      <c r="Q7" s="22" t="n">
        <f aca="false">P10</f>
        <v>138.257188698186</v>
      </c>
      <c r="R7" s="22" t="n">
        <f aca="false">Q10</f>
        <v>158.874616811204</v>
      </c>
      <c r="S7" s="22" t="n">
        <f aca="false">R10</f>
        <v>180.285870643092</v>
      </c>
      <c r="T7" s="22" t="n">
        <f aca="false">S10</f>
        <v>202.483011936661</v>
      </c>
      <c r="U7" s="22" t="n">
        <f aca="false">T10</f>
        <v>225.458181817294</v>
      </c>
      <c r="V7" s="22" t="n">
        <f aca="false">U10</f>
        <v>249.203599999121</v>
      </c>
      <c r="W7" s="22" t="n">
        <f aca="false">V10</f>
        <v>273.71156399913</v>
      </c>
      <c r="X7" s="22" t="n">
        <f aca="false">W10</f>
        <v>298.974448359139</v>
      </c>
      <c r="Y7" s="22" t="n">
        <f aca="false">X10</f>
        <v>324.984703875547</v>
      </c>
      <c r="Z7" s="22" t="n">
        <f aca="false">Y10</f>
        <v>351.734856836792</v>
      </c>
      <c r="AA7" s="22" t="n">
        <f aca="false">Z10</f>
        <v>379.217508268424</v>
      </c>
      <c r="AB7" s="22" t="n">
        <f aca="false">AA10</f>
        <v>407.42533318574</v>
      </c>
      <c r="AC7" s="22" t="n">
        <f aca="false">AB10</f>
        <v>436.351079853882</v>
      </c>
      <c r="AD7" s="22" t="n">
        <f aca="false">AC10</f>
        <v>465.987569055343</v>
      </c>
      <c r="AE7" s="22" t="n">
        <f aca="false">AD10</f>
        <v>496.32769336479</v>
      </c>
      <c r="AF7" s="22" t="n">
        <f aca="false">AE10</f>
        <v>527.364416431142</v>
      </c>
      <c r="AG7" s="22" t="n">
        <f aca="false">AF10</f>
        <v>559.090772266831</v>
      </c>
      <c r="AH7" s="22" t="n">
        <f aca="false">AG10</f>
        <v>591.499864544162</v>
      </c>
      <c r="AI7" s="22" t="n">
        <f aca="false">AH10</f>
        <v>624.584865898721</v>
      </c>
      <c r="AJ7" s="22" t="n">
        <f aca="false">AI10</f>
        <v>658.339017239733</v>
      </c>
      <c r="AK7" s="22" t="n">
        <f aca="false">AJ10</f>
        <v>692.755627067336</v>
      </c>
      <c r="AL7" s="2"/>
    </row>
    <row r="8" customFormat="false" ht="15" hidden="false" customHeight="false" outlineLevel="0" collapsed="false">
      <c r="A8" s="21" t="s">
        <v>118</v>
      </c>
      <c r="B8" s="8" t="n">
        <f aca="false">ROUND(Assumptions!C53*Assumptions!$B$14,0)</f>
        <v>0</v>
      </c>
      <c r="C8" s="8" t="n">
        <f aca="false">ROUND(Assumptions!D53*Assumptions!$B$14,0)</f>
        <v>0</v>
      </c>
      <c r="D8" s="8" t="n">
        <f aca="false">ROUND(Assumptions!E53*Assumptions!$B$14,0)</f>
        <v>0</v>
      </c>
      <c r="E8" s="8" t="n">
        <f aca="false">ROUND(Assumptions!F53*Assumptions!$B$14,0)</f>
        <v>3</v>
      </c>
      <c r="F8" s="8" t="n">
        <f aca="false">ROUND(Assumptions!G53*Assumptions!$B$14,0)</f>
        <v>5</v>
      </c>
      <c r="G8" s="8" t="n">
        <f aca="false">ROUND(Assumptions!H53*Assumptions!$B$14,0)</f>
        <v>7</v>
      </c>
      <c r="H8" s="8" t="n">
        <f aca="false">ROUND(Assumptions!I53*Assumptions!$B$14,0)</f>
        <v>8</v>
      </c>
      <c r="I8" s="8" t="n">
        <f aca="false">ROUND(Assumptions!J53*Assumptions!$B$14,0)</f>
        <v>9</v>
      </c>
      <c r="J8" s="8" t="n">
        <f aca="false">ROUND(Assumptions!K53*Assumptions!$B$14,0)</f>
        <v>11</v>
      </c>
      <c r="K8" s="8" t="n">
        <f aca="false">ROUND(Assumptions!L53*Assumptions!$B$14,0)</f>
        <v>13</v>
      </c>
      <c r="L8" s="8" t="n">
        <f aca="false">ROUND(Assumptions!M53*Assumptions!$B$14,0)</f>
        <v>14</v>
      </c>
      <c r="M8" s="8" t="n">
        <f aca="false">ROUND(Assumptions!N53*Assumptions!$B$14,0)</f>
        <v>16</v>
      </c>
      <c r="N8" s="8" t="n">
        <f aca="false">ROUND(Assumptions!O53*Assumptions!$B$14,0)</f>
        <v>17</v>
      </c>
      <c r="O8" s="8" t="n">
        <f aca="false">ROUND(Assumptions!P53*Assumptions!$B$14,0)</f>
        <v>19</v>
      </c>
      <c r="P8" s="8" t="n">
        <f aca="false">ROUND(Assumptions!Q53*Assumptions!$B$14,0)</f>
        <v>20</v>
      </c>
      <c r="Q8" s="8" t="n">
        <f aca="false">ROUND(Assumptions!R53*Assumptions!$B$14,0)</f>
        <v>22</v>
      </c>
      <c r="R8" s="8" t="n">
        <f aca="false">ROUND(Assumptions!S53*Assumptions!$B$14,0)</f>
        <v>23</v>
      </c>
      <c r="S8" s="8" t="n">
        <f aca="false">ROUND(Assumptions!T53*Assumptions!$B$14,0)</f>
        <v>24</v>
      </c>
      <c r="T8" s="8" t="n">
        <f aca="false">ROUND(Assumptions!U53*Assumptions!$B$14,0)</f>
        <v>25</v>
      </c>
      <c r="U8" s="8" t="n">
        <f aca="false">ROUND(Assumptions!V53*Assumptions!$B$14,0)</f>
        <v>26</v>
      </c>
      <c r="V8" s="8" t="n">
        <f aca="false">ROUND(Assumptions!W53*Assumptions!$B$14,0)</f>
        <v>27</v>
      </c>
      <c r="W8" s="8" t="n">
        <f aca="false">ROUND(Assumptions!X53*Assumptions!$B$14,0)</f>
        <v>28</v>
      </c>
      <c r="X8" s="8" t="n">
        <f aca="false">ROUND(Assumptions!Y53*Assumptions!$B$14,0)</f>
        <v>29</v>
      </c>
      <c r="Y8" s="8" t="n">
        <f aca="false">ROUND(Assumptions!Z53*Assumptions!$B$14,0)</f>
        <v>30</v>
      </c>
      <c r="Z8" s="8" t="n">
        <f aca="false">ROUND(Assumptions!AA53*Assumptions!$B$14,0)</f>
        <v>31</v>
      </c>
      <c r="AA8" s="8" t="n">
        <f aca="false">ROUND(Assumptions!AB53*Assumptions!$B$14,0)</f>
        <v>32</v>
      </c>
      <c r="AB8" s="8" t="n">
        <f aca="false">ROUND(Assumptions!AC53*Assumptions!$B$14,0)</f>
        <v>33</v>
      </c>
      <c r="AC8" s="8" t="n">
        <f aca="false">ROUND(Assumptions!AD53*Assumptions!$B$14,0)</f>
        <v>34</v>
      </c>
      <c r="AD8" s="8" t="n">
        <f aca="false">ROUND(Assumptions!AE53*Assumptions!$B$14,0)</f>
        <v>35</v>
      </c>
      <c r="AE8" s="8" t="n">
        <f aca="false">ROUND(Assumptions!AF53*Assumptions!$B$14,0)</f>
        <v>36</v>
      </c>
      <c r="AF8" s="8" t="n">
        <f aca="false">ROUND(Assumptions!AG53*Assumptions!$B$14,0)</f>
        <v>37</v>
      </c>
      <c r="AG8" s="8" t="n">
        <f aca="false">ROUND(Assumptions!AH53*Assumptions!$B$14,0)</f>
        <v>38</v>
      </c>
      <c r="AH8" s="8" t="n">
        <f aca="false">ROUND(Assumptions!AI53*Assumptions!$B$14,0)</f>
        <v>39</v>
      </c>
      <c r="AI8" s="8" t="n">
        <f aca="false">ROUND(Assumptions!AJ53*Assumptions!$B$14,0)</f>
        <v>40</v>
      </c>
      <c r="AJ8" s="8" t="n">
        <f aca="false">ROUND(Assumptions!AK53*Assumptions!$B$14,0)</f>
        <v>41</v>
      </c>
      <c r="AK8" s="8" t="n">
        <f aca="false">ROUND(Assumptions!AL53*Assumptions!$B$14,0)</f>
        <v>42</v>
      </c>
      <c r="AL8" s="2"/>
    </row>
    <row r="9" customFormat="false" ht="15" hidden="false" customHeight="false" outlineLevel="0" collapsed="false">
      <c r="A9" s="21" t="s">
        <v>119</v>
      </c>
      <c r="B9" s="22" t="n">
        <f aca="false">B7*Assumptions!$B$8</f>
        <v>0.02</v>
      </c>
      <c r="C9" s="22" t="n">
        <f aca="false">C7*Assumptions!$B$8</f>
        <v>0.0198</v>
      </c>
      <c r="D9" s="22" t="n">
        <f aca="false">D7*Assumptions!$B$8</f>
        <v>0.019602</v>
      </c>
      <c r="E9" s="22" t="n">
        <f aca="false">E7*Assumptions!$B$8</f>
        <v>0.01940598</v>
      </c>
      <c r="F9" s="22" t="n">
        <f aca="false">F7*Assumptions!$B$8</f>
        <v>0.0492119202</v>
      </c>
      <c r="G9" s="22" t="n">
        <f aca="false">G7*Assumptions!$B$8</f>
        <v>0.098719800998</v>
      </c>
      <c r="H9" s="22" t="n">
        <f aca="false">H7*Assumptions!$B$8</f>
        <v>0.16773260298802</v>
      </c>
      <c r="I9" s="22" t="n">
        <f aca="false">I7*Assumptions!$B$8</f>
        <v>0.24605527695814</v>
      </c>
      <c r="J9" s="22" t="n">
        <f aca="false">J7*Assumptions!$B$8</f>
        <v>0.333594724188558</v>
      </c>
      <c r="K9" s="22" t="n">
        <f aca="false">K7*Assumptions!$B$8</f>
        <v>0.440258776946673</v>
      </c>
      <c r="L9" s="22" t="n">
        <f aca="false">L7*Assumptions!$B$8</f>
        <v>0.565856189177206</v>
      </c>
      <c r="M9" s="22" t="n">
        <f aca="false">M7*Assumptions!$B$8</f>
        <v>0.700197627285434</v>
      </c>
      <c r="N9" s="22" t="n">
        <f aca="false">N7*Assumptions!$B$8</f>
        <v>0.85319565101258</v>
      </c>
      <c r="O9" s="22" t="n">
        <f aca="false">O7*Assumptions!$B$8</f>
        <v>1.01466369450245</v>
      </c>
      <c r="P9" s="22" t="n">
        <f aca="false">P7*Assumptions!$B$8</f>
        <v>1.19451705755743</v>
      </c>
      <c r="Q9" s="22" t="n">
        <f aca="false">Q7*Assumptions!$B$8</f>
        <v>1.38257188698186</v>
      </c>
      <c r="R9" s="22" t="n">
        <f aca="false">R7*Assumptions!$B$8</f>
        <v>1.58874616811204</v>
      </c>
      <c r="S9" s="22" t="n">
        <f aca="false">S7*Assumptions!$B$8</f>
        <v>1.80285870643092</v>
      </c>
      <c r="T9" s="22" t="n">
        <f aca="false">T7*Assumptions!$B$8</f>
        <v>2.02483011936661</v>
      </c>
      <c r="U9" s="22" t="n">
        <f aca="false">U7*Assumptions!$B$8</f>
        <v>2.25458181817294</v>
      </c>
      <c r="V9" s="22" t="n">
        <f aca="false">V7*Assumptions!$B$8</f>
        <v>2.49203599999121</v>
      </c>
      <c r="W9" s="22" t="n">
        <f aca="false">W7*Assumptions!$B$8</f>
        <v>2.7371156399913</v>
      </c>
      <c r="X9" s="22" t="n">
        <f aca="false">X7*Assumptions!$B$8</f>
        <v>2.98974448359139</v>
      </c>
      <c r="Y9" s="22" t="n">
        <f aca="false">Y7*Assumptions!$B$8</f>
        <v>3.24984703875547</v>
      </c>
      <c r="Z9" s="22" t="n">
        <f aca="false">Z7*Assumptions!$B$8</f>
        <v>3.51734856836792</v>
      </c>
      <c r="AA9" s="22" t="n">
        <f aca="false">AA7*Assumptions!$B$8</f>
        <v>3.79217508268424</v>
      </c>
      <c r="AB9" s="22" t="n">
        <f aca="false">AB7*Assumptions!$B$8</f>
        <v>4.0742533318574</v>
      </c>
      <c r="AC9" s="22" t="n">
        <f aca="false">AC7*Assumptions!$B$8</f>
        <v>4.36351079853882</v>
      </c>
      <c r="AD9" s="22" t="n">
        <f aca="false">AD7*Assumptions!$B$8</f>
        <v>4.65987569055343</v>
      </c>
      <c r="AE9" s="22" t="n">
        <f aca="false">AE7*Assumptions!$B$8</f>
        <v>4.9632769336479</v>
      </c>
      <c r="AF9" s="22" t="n">
        <f aca="false">AF7*Assumptions!$B$8</f>
        <v>5.27364416431142</v>
      </c>
      <c r="AG9" s="22" t="n">
        <f aca="false">AG7*Assumptions!$B$8</f>
        <v>5.59090772266831</v>
      </c>
      <c r="AH9" s="22" t="n">
        <f aca="false">AH7*Assumptions!$B$8</f>
        <v>5.91499864544162</v>
      </c>
      <c r="AI9" s="22" t="n">
        <f aca="false">AI7*Assumptions!$B$8</f>
        <v>6.24584865898721</v>
      </c>
      <c r="AJ9" s="22" t="n">
        <f aca="false">AJ7*Assumptions!$B$8</f>
        <v>6.58339017239733</v>
      </c>
      <c r="AK9" s="22" t="n">
        <f aca="false">AK7*Assumptions!$B$8</f>
        <v>6.92755627067336</v>
      </c>
      <c r="AL9" s="2"/>
    </row>
    <row r="10" customFormat="false" ht="15" hidden="false" customHeight="false" outlineLevel="0" collapsed="false">
      <c r="A10" s="10" t="s">
        <v>120</v>
      </c>
      <c r="B10" s="23" t="n">
        <f aca="false">B7-B9+B8</f>
        <v>1.98</v>
      </c>
      <c r="C10" s="23" t="n">
        <f aca="false">C7-C9+C8</f>
        <v>1.9602</v>
      </c>
      <c r="D10" s="23" t="n">
        <f aca="false">D7-D9+D8</f>
        <v>1.940598</v>
      </c>
      <c r="E10" s="23" t="n">
        <f aca="false">E7-E9+E8</f>
        <v>4.92119202</v>
      </c>
      <c r="F10" s="23" t="n">
        <f aca="false">F7-F9+F8</f>
        <v>9.8719800998</v>
      </c>
      <c r="G10" s="23" t="n">
        <f aca="false">G7-G9+G8</f>
        <v>16.773260298802</v>
      </c>
      <c r="H10" s="23" t="n">
        <f aca="false">H7-H9+H8</f>
        <v>24.605527695814</v>
      </c>
      <c r="I10" s="23" t="n">
        <f aca="false">I7-I9+I8</f>
        <v>33.3594724188558</v>
      </c>
      <c r="J10" s="23" t="n">
        <f aca="false">J7-J9+J8</f>
        <v>44.0258776946673</v>
      </c>
      <c r="K10" s="23" t="n">
        <f aca="false">K7-K9+K8</f>
        <v>56.5856189177206</v>
      </c>
      <c r="L10" s="23" t="n">
        <f aca="false">L7-L9+L8</f>
        <v>70.0197627285434</v>
      </c>
      <c r="M10" s="23" t="n">
        <f aca="false">M7-M9+M8</f>
        <v>85.319565101258</v>
      </c>
      <c r="N10" s="23" t="n">
        <f aca="false">N7-N9+N8</f>
        <v>101.466369450245</v>
      </c>
      <c r="O10" s="23" t="n">
        <f aca="false">O7-O9+O8</f>
        <v>119.451705755743</v>
      </c>
      <c r="P10" s="23" t="n">
        <f aca="false">P7-P9+P8</f>
        <v>138.257188698186</v>
      </c>
      <c r="Q10" s="23" t="n">
        <f aca="false">Q7-Q9+Q8</f>
        <v>158.874616811204</v>
      </c>
      <c r="R10" s="23" t="n">
        <f aca="false">R7-R9+R8</f>
        <v>180.285870643092</v>
      </c>
      <c r="S10" s="23" t="n">
        <f aca="false">S7-S9+S8</f>
        <v>202.483011936661</v>
      </c>
      <c r="T10" s="23" t="n">
        <f aca="false">T7-T9+T8</f>
        <v>225.458181817294</v>
      </c>
      <c r="U10" s="23" t="n">
        <f aca="false">U7-U9+U8</f>
        <v>249.203599999121</v>
      </c>
      <c r="V10" s="23" t="n">
        <f aca="false">V7-V9+V8</f>
        <v>273.71156399913</v>
      </c>
      <c r="W10" s="23" t="n">
        <f aca="false">W7-W9+W8</f>
        <v>298.974448359139</v>
      </c>
      <c r="X10" s="23" t="n">
        <f aca="false">X7-X9+X8</f>
        <v>324.984703875547</v>
      </c>
      <c r="Y10" s="23" t="n">
        <f aca="false">Y7-Y9+Y8</f>
        <v>351.734856836792</v>
      </c>
      <c r="Z10" s="23" t="n">
        <f aca="false">Z7-Z9+Z8</f>
        <v>379.217508268424</v>
      </c>
      <c r="AA10" s="23" t="n">
        <f aca="false">AA7-AA9+AA8</f>
        <v>407.42533318574</v>
      </c>
      <c r="AB10" s="23" t="n">
        <f aca="false">AB7-AB9+AB8</f>
        <v>436.351079853882</v>
      </c>
      <c r="AC10" s="23" t="n">
        <f aca="false">AC7-AC9+AC8</f>
        <v>465.987569055343</v>
      </c>
      <c r="AD10" s="23" t="n">
        <f aca="false">AD7-AD9+AD8</f>
        <v>496.32769336479</v>
      </c>
      <c r="AE10" s="23" t="n">
        <f aca="false">AE7-AE9+AE8</f>
        <v>527.364416431142</v>
      </c>
      <c r="AF10" s="23" t="n">
        <f aca="false">AF7-AF9+AF8</f>
        <v>559.090772266831</v>
      </c>
      <c r="AG10" s="23" t="n">
        <f aca="false">AG7-AG9+AG8</f>
        <v>591.499864544162</v>
      </c>
      <c r="AH10" s="23" t="n">
        <f aca="false">AH7-AH9+AH8</f>
        <v>624.584865898721</v>
      </c>
      <c r="AI10" s="23" t="n">
        <f aca="false">AI7-AI9+AI8</f>
        <v>658.339017239733</v>
      </c>
      <c r="AJ10" s="23" t="n">
        <f aca="false">AJ7-AJ9+AJ8</f>
        <v>692.755627067336</v>
      </c>
      <c r="AK10" s="23" t="n">
        <f aca="false">AK7-AK9+AK8</f>
        <v>727.828070796663</v>
      </c>
      <c r="AL10" s="2"/>
    </row>
    <row r="11" customFormat="false" ht="15" hidden="false" customHeight="false" outlineLevel="0" collapsed="false">
      <c r="A11" s="4" t="s">
        <v>121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</row>
    <row r="12" customFormat="false" ht="15" hidden="false" customHeight="false" outlineLevel="0" collapsed="false">
      <c r="A12" s="21" t="s">
        <v>122</v>
      </c>
      <c r="B12" s="11" t="n">
        <f aca="false">(Assumptions!$B$10*(1-Assumptions!$B$8)+B8*Assumptions!$B$6+IF(B4=Assumptions!$B$11,Assumptions!$B$12,0))*IF(OR(B4=13,B4=25),1+Assumptions!$B$9,1)</f>
        <v>3009.6</v>
      </c>
      <c r="C12" s="11" t="n">
        <f aca="false">(B12*(1-Assumptions!$B$8)+C8*Assumptions!$B$6+IF(C4=Assumptions!$B$11,Assumptions!$B$12,0))*IF(OR(C4=13,C4=25),1+Assumptions!$B$9,1)</f>
        <v>2979.504</v>
      </c>
      <c r="D12" s="11" t="n">
        <f aca="false">(C12*(1-Assumptions!$B$8)+D8*Assumptions!$B$6+IF(D4=Assumptions!$B$11,Assumptions!$B$12,0))*IF(OR(D4=13,D4=25),1+Assumptions!$B$9,1)</f>
        <v>2949.70896</v>
      </c>
      <c r="E12" s="11" t="n">
        <f aca="false">(D12*(1-Assumptions!$B$8)+E8*Assumptions!$B$6+IF(E4=Assumptions!$B$11,Assumptions!$B$12,0))*IF(OR(E4=13,E4=25),1+Assumptions!$B$9,1)</f>
        <v>6370.2118704</v>
      </c>
      <c r="F12" s="11" t="n">
        <f aca="false">(E12*(1-Assumptions!$B$8)+F8*Assumptions!$B$6+IF(F4=Assumptions!$B$11,Assumptions!$B$12,0))*IF(OR(F4=13,F4=25),1+Assumptions!$B$9,1)</f>
        <v>12056.509751696</v>
      </c>
      <c r="G12" s="11" t="n">
        <f aca="false">(F12*(1-Assumptions!$B$8)+G8*Assumptions!$B$6+IF(G4=Assumptions!$B$11,Assumptions!$B$12,0))*IF(OR(G4=13,G4=25),1+Assumptions!$B$9,1)</f>
        <v>19985.944654179</v>
      </c>
      <c r="H12" s="11" t="n">
        <f aca="false">(G12*(1-Assumptions!$B$8)+H8*Assumptions!$B$6+IF(H4=Assumptions!$B$11,Assumptions!$B$12,0))*IF(OR(H4=13,H4=25),1+Assumptions!$B$9,1)</f>
        <v>28986.0852076373</v>
      </c>
      <c r="I12" s="11" t="n">
        <f aca="false">(H12*(1-Assumptions!$B$8)+I8*Assumptions!$B$6+IF(I4=Assumptions!$B$11,Assumptions!$B$12,0))*IF(OR(I4=13,I4=25),1+Assumptions!$B$9,1)</f>
        <v>39046.2243555609</v>
      </c>
      <c r="J12" s="11" t="n">
        <f aca="false">(I12*(1-Assumptions!$B$8)+J8*Assumptions!$B$6+IF(J4=Assumptions!$B$11,Assumptions!$B$12,0))*IF(OR(J4=13,J4=25),1+Assumptions!$B$9,1)</f>
        <v>51305.7621120053</v>
      </c>
      <c r="K12" s="11" t="n">
        <f aca="false">(J12*(1-Assumptions!$B$8)+K8*Assumptions!$B$6+IF(K4=Assumptions!$B$11,Assumptions!$B$12,0))*IF(OR(K4=13,K4=25),1+Assumptions!$B$9,1)</f>
        <v>66402.7044908852</v>
      </c>
      <c r="L12" s="11" t="n">
        <f aca="false">(K12*(1-Assumptions!$B$8)+L8*Assumptions!$B$6+IF(L4=Assumptions!$B$11,Assumptions!$B$12,0))*IF(OR(L4=13,L4=25),1+Assumptions!$B$9,1)</f>
        <v>81838.6774459764</v>
      </c>
      <c r="M12" s="11" t="n">
        <f aca="false">(L12*(1-Assumptions!$B$8)+M8*Assumptions!$B$6+IF(M4=Assumptions!$B$11,Assumptions!$B$12,0))*IF(OR(M4=13,M4=25),1+Assumptions!$B$9,1)</f>
        <v>99420.2906715166</v>
      </c>
      <c r="N12" s="11" t="n">
        <f aca="false">(M12*(1-Assumptions!$B$8)+N8*Assumptions!$B$6+IF(N4=Assumptions!$B$11,Assumptions!$B$12,0))*IF(OR(N4=13,N4=25),1+Assumptions!$B$9,1)</f>
        <v>121515.370397745</v>
      </c>
      <c r="O12" s="11" t="n">
        <f aca="false">(N12*(1-Assumptions!$B$8)+O8*Assumptions!$B$6+IF(O4=Assumptions!$B$11,Assumptions!$B$12,0))*IF(OR(O4=13,O4=25),1+Assumptions!$B$9,1)</f>
        <v>142150.216693768</v>
      </c>
      <c r="P12" s="11" t="n">
        <f aca="false">(O12*(1-Assumptions!$B$8)+P8*Assumptions!$B$6+IF(P4=Assumptions!$B$11,Assumptions!$B$12,0))*IF(OR(P4=13,P4=25),1+Assumptions!$B$9,1)</f>
        <v>163728.71452683</v>
      </c>
      <c r="Q12" s="11" t="n">
        <f aca="false">(P12*(1-Assumptions!$B$8)+Q8*Assumptions!$B$6+IF(Q4=Assumptions!$B$11,Assumptions!$B$12,0))*IF(OR(Q4=13,Q4=25),1+Assumptions!$B$9,1)</f>
        <v>187391.427381562</v>
      </c>
      <c r="R12" s="11" t="n">
        <f aca="false">(Q12*(1-Assumptions!$B$8)+R8*Assumptions!$B$6+IF(R4=Assumptions!$B$11,Assumptions!$B$12,0))*IF(OR(R4=13,R4=25),1+Assumptions!$B$9,1)</f>
        <v>211967.513107746</v>
      </c>
      <c r="S12" s="11" t="n">
        <f aca="false">(R12*(1-Assumptions!$B$8)+S8*Assumptions!$B$6+IF(S4=Assumptions!$B$11,Assumptions!$B$12,0))*IF(OR(S4=13,S4=25),1+Assumptions!$B$9,1)</f>
        <v>237447.837976669</v>
      </c>
      <c r="T12" s="11" t="n">
        <f aca="false">(S12*(1-Assumptions!$B$8)+T8*Assumptions!$B$6+IF(T4=Assumptions!$B$11,Assumptions!$B$12,0))*IF(OR(T4=13,T4=25),1+Assumptions!$B$9,1)</f>
        <v>263823.359596902</v>
      </c>
      <c r="U12" s="11" t="n">
        <f aca="false">(T12*(1-Assumptions!$B$8)+U8*Assumptions!$B$6+IF(U4=Assumptions!$B$11,Assumptions!$B$12,0))*IF(OR(U4=13,U4=25),1+Assumptions!$B$9,1)</f>
        <v>291085.126000933</v>
      </c>
      <c r="V12" s="11" t="n">
        <f aca="false">(U12*(1-Assumptions!$B$8)+V8*Assumptions!$B$6+IF(V4=Assumptions!$B$11,Assumptions!$B$12,0))*IF(OR(V4=13,V4=25),1+Assumptions!$B$9,1)</f>
        <v>319224.274740924</v>
      </c>
      <c r="W12" s="11" t="n">
        <f aca="false">(V12*(1-Assumptions!$B$8)+W8*Assumptions!$B$6+IF(W4=Assumptions!$B$11,Assumptions!$B$12,0))*IF(OR(W4=13,W4=25),1+Assumptions!$B$9,1)</f>
        <v>348232.031993515</v>
      </c>
      <c r="X12" s="11" t="n">
        <f aca="false">(W12*(1-Assumptions!$B$8)+X8*Assumptions!$B$6+IF(X4=Assumptions!$B$11,Assumptions!$B$12,0))*IF(OR(X4=13,X4=25),1+Assumptions!$B$9,1)</f>
        <v>378099.711673579</v>
      </c>
      <c r="Y12" s="11" t="n">
        <f aca="false">(X12*(1-Assumptions!$B$8)+Y8*Assumptions!$B$6+IF(Y4=Assumptions!$B$11,Assumptions!$B$12,0))*IF(OR(Y4=13,Y4=25),1+Assumptions!$B$9,1)</f>
        <v>408818.714556844</v>
      </c>
      <c r="Z12" s="11" t="n">
        <f aca="false">(Y12*(1-Assumptions!$B$8)+Z8*Assumptions!$B$6+IF(Z4=Assumptions!$B$11,Assumptions!$B$12,0))*IF(OR(Z4=13,Z4=25),1+Assumptions!$B$9,1)</f>
        <v>453591.943233614</v>
      </c>
      <c r="AA12" s="11" t="n">
        <f aca="false">(Z12*(1-Assumptions!$B$8)+AA8*Assumptions!$B$6+IF(AA4=Assumptions!$B$11,Assumptions!$B$12,0))*IF(OR(AA4=13,AA4=25),1+Assumptions!$B$9,1)</f>
        <v>485856.023801277</v>
      </c>
      <c r="AB12" s="11" t="n">
        <f aca="false">(AA12*(1-Assumptions!$B$8)+AB8*Assumptions!$B$6+IF(AB4=Assumptions!$B$11,Assumptions!$B$12,0))*IF(OR(AB4=13,AB4=25),1+Assumptions!$B$9,1)</f>
        <v>518947.463563265</v>
      </c>
      <c r="AC12" s="11" t="n">
        <f aca="false">(AB12*(1-Assumptions!$B$8)+AC8*Assumptions!$B$6+IF(AC4=Assumptions!$B$11,Assumptions!$B$12,0))*IF(OR(AC4=13,AC4=25),1+Assumptions!$B$9,1)</f>
        <v>552857.988927632</v>
      </c>
      <c r="AD12" s="11" t="n">
        <f aca="false">(AC12*(1-Assumptions!$B$8)+AD8*Assumptions!$B$6+IF(AD4=Assumptions!$B$11,Assumptions!$B$12,0))*IF(OR(AD4=13,AD4=25),1+Assumptions!$B$9,1)</f>
        <v>587579.409038356</v>
      </c>
      <c r="AE12" s="11" t="n">
        <f aca="false">(AD12*(1-Assumptions!$B$8)+AE8*Assumptions!$B$6+IF(AE4=Assumptions!$B$11,Assumptions!$B$12,0))*IF(OR(AE4=13,AE4=25),1+Assumptions!$B$9,1)</f>
        <v>623103.614947972</v>
      </c>
      <c r="AF12" s="11" t="n">
        <f aca="false">(AE12*(1-Assumptions!$B$8)+AF8*Assumptions!$B$6+IF(AF4=Assumptions!$B$11,Assumptions!$B$12,0))*IF(OR(AF4=13,AF4=25),1+Assumptions!$B$9,1)</f>
        <v>659422.578798492</v>
      </c>
      <c r="AG12" s="11" t="n">
        <f aca="false">(AF12*(1-Assumptions!$B$8)+AG8*Assumptions!$B$6+IF(AG4=Assumptions!$B$11,Assumptions!$B$12,0))*IF(OR(AG4=13,AG4=25),1+Assumptions!$B$9,1)</f>
        <v>696528.353010508</v>
      </c>
      <c r="AH12" s="11" t="n">
        <f aca="false">(AG12*(1-Assumptions!$B$8)+AH8*Assumptions!$B$6+IF(AH4=Assumptions!$B$11,Assumptions!$B$12,0))*IF(OR(AH4=13,AH4=25),1+Assumptions!$B$9,1)</f>
        <v>734413.069480402</v>
      </c>
      <c r="AI12" s="11" t="n">
        <f aca="false">(AH12*(1-Assumptions!$B$8)+AI8*Assumptions!$B$6+IF(AI4=Assumptions!$B$11,Assumptions!$B$12,0))*IF(OR(AI4=13,AI4=25),1+Assumptions!$B$9,1)</f>
        <v>773068.938785598</v>
      </c>
      <c r="AJ12" s="11" t="n">
        <f aca="false">(AI12*(1-Assumptions!$B$8)+AJ8*Assumptions!$B$6+IF(AJ4=Assumptions!$B$11,Assumptions!$B$12,0))*IF(OR(AJ4=13,AJ4=25),1+Assumptions!$B$9,1)</f>
        <v>812488.249397742</v>
      </c>
      <c r="AK12" s="11" t="n">
        <f aca="false">(AJ12*(1-Assumptions!$B$8)+AK8*Assumptions!$B$6+IF(AK4=Assumptions!$B$11,Assumptions!$B$12,0))*IF(OR(AK4=13,AK4=25),1+Assumptions!$B$9,1)</f>
        <v>852663.366903765</v>
      </c>
      <c r="AL12" s="2"/>
    </row>
    <row r="13" customFormat="false" ht="15" hidden="false" customHeight="false" outlineLevel="0" collapsed="false">
      <c r="A13" s="21" t="s">
        <v>123</v>
      </c>
      <c r="B13" s="11" t="n">
        <f aca="false">B12*IF(B4&lt;=12,Assumptions!$B$16,IF(B4&lt;=24,Assumptions!$B$17,Assumptions!$B$18))</f>
        <v>90.288</v>
      </c>
      <c r="C13" s="11" t="n">
        <f aca="false">C12*IF(C4&lt;=12,Assumptions!$B$16,IF(C4&lt;=24,Assumptions!$B$17,Assumptions!$B$18))</f>
        <v>89.38512</v>
      </c>
      <c r="D13" s="11" t="n">
        <f aca="false">D12*IF(D4&lt;=12,Assumptions!$B$16,IF(D4&lt;=24,Assumptions!$B$17,Assumptions!$B$18))</f>
        <v>88.4912688</v>
      </c>
      <c r="E13" s="11" t="n">
        <f aca="false">E12*IF(E4&lt;=12,Assumptions!$B$16,IF(E4&lt;=24,Assumptions!$B$17,Assumptions!$B$18))</f>
        <v>191.106356112</v>
      </c>
      <c r="F13" s="11" t="n">
        <f aca="false">F12*IF(F4&lt;=12,Assumptions!$B$16,IF(F4&lt;=24,Assumptions!$B$17,Assumptions!$B$18))</f>
        <v>361.69529255088</v>
      </c>
      <c r="G13" s="11" t="n">
        <f aca="false">G12*IF(G4&lt;=12,Assumptions!$B$16,IF(G4&lt;=24,Assumptions!$B$17,Assumptions!$B$18))</f>
        <v>599.578339625371</v>
      </c>
      <c r="H13" s="11" t="n">
        <f aca="false">H12*IF(H4&lt;=12,Assumptions!$B$16,IF(H4&lt;=24,Assumptions!$B$17,Assumptions!$B$18))</f>
        <v>869.582556229118</v>
      </c>
      <c r="I13" s="11" t="n">
        <f aca="false">I12*IF(I4&lt;=12,Assumptions!$B$16,IF(I4&lt;=24,Assumptions!$B$17,Assumptions!$B$18))</f>
        <v>1171.38673066683</v>
      </c>
      <c r="J13" s="11" t="n">
        <f aca="false">J12*IF(J4&lt;=12,Assumptions!$B$16,IF(J4&lt;=24,Assumptions!$B$17,Assumptions!$B$18))</f>
        <v>1539.17286336016</v>
      </c>
      <c r="K13" s="11" t="n">
        <f aca="false">K12*IF(K4&lt;=12,Assumptions!$B$16,IF(K4&lt;=24,Assumptions!$B$17,Assumptions!$B$18))</f>
        <v>1992.08113472656</v>
      </c>
      <c r="L13" s="11" t="n">
        <f aca="false">L12*IF(L4&lt;=12,Assumptions!$B$16,IF(L4&lt;=24,Assumptions!$B$17,Assumptions!$B$18))</f>
        <v>2455.16032337929</v>
      </c>
      <c r="M13" s="11" t="n">
        <f aca="false">M12*IF(M4&lt;=12,Assumptions!$B$16,IF(M4&lt;=24,Assumptions!$B$17,Assumptions!$B$18))</f>
        <v>2982.6087201455</v>
      </c>
      <c r="N13" s="11" t="n">
        <f aca="false">N12*IF(N4&lt;=12,Assumptions!$B$16,IF(N4&lt;=24,Assumptions!$B$17,Assumptions!$B$18))</f>
        <v>12151.5370397745</v>
      </c>
      <c r="O13" s="11" t="n">
        <f aca="false">O12*IF(O4&lt;=12,Assumptions!$B$16,IF(O4&lt;=24,Assumptions!$B$17,Assumptions!$B$18))</f>
        <v>14215.0216693768</v>
      </c>
      <c r="P13" s="11" t="n">
        <f aca="false">P12*IF(P4&lt;=12,Assumptions!$B$16,IF(P4&lt;=24,Assumptions!$B$17,Assumptions!$B$18))</f>
        <v>16372.871452683</v>
      </c>
      <c r="Q13" s="11" t="n">
        <f aca="false">Q12*IF(Q4&lt;=12,Assumptions!$B$16,IF(Q4&lt;=24,Assumptions!$B$17,Assumptions!$B$18))</f>
        <v>18739.1427381562</v>
      </c>
      <c r="R13" s="11" t="n">
        <f aca="false">R12*IF(R4&lt;=12,Assumptions!$B$16,IF(R4&lt;=24,Assumptions!$B$17,Assumptions!$B$18))</f>
        <v>21196.7513107746</v>
      </c>
      <c r="S13" s="11" t="n">
        <f aca="false">S12*IF(S4&lt;=12,Assumptions!$B$16,IF(S4&lt;=24,Assumptions!$B$17,Assumptions!$B$18))</f>
        <v>23744.7837976669</v>
      </c>
      <c r="T13" s="11" t="n">
        <f aca="false">T12*IF(T4&lt;=12,Assumptions!$B$16,IF(T4&lt;=24,Assumptions!$B$17,Assumptions!$B$18))</f>
        <v>26382.3359596902</v>
      </c>
      <c r="U13" s="11" t="n">
        <f aca="false">U12*IF(U4&lt;=12,Assumptions!$B$16,IF(U4&lt;=24,Assumptions!$B$17,Assumptions!$B$18))</f>
        <v>29108.5126000933</v>
      </c>
      <c r="V13" s="11" t="n">
        <f aca="false">V12*IF(V4&lt;=12,Assumptions!$B$16,IF(V4&lt;=24,Assumptions!$B$17,Assumptions!$B$18))</f>
        <v>31922.4274740924</v>
      </c>
      <c r="W13" s="11" t="n">
        <f aca="false">W12*IF(W4&lt;=12,Assumptions!$B$16,IF(W4&lt;=24,Assumptions!$B$17,Assumptions!$B$18))</f>
        <v>34823.2031993515</v>
      </c>
      <c r="X13" s="11" t="n">
        <f aca="false">X12*IF(X4&lt;=12,Assumptions!$B$16,IF(X4&lt;=24,Assumptions!$B$17,Assumptions!$B$18))</f>
        <v>37809.971167358</v>
      </c>
      <c r="Y13" s="11" t="n">
        <f aca="false">Y12*IF(Y4&lt;=12,Assumptions!$B$16,IF(Y4&lt;=24,Assumptions!$B$17,Assumptions!$B$18))</f>
        <v>40881.8714556844</v>
      </c>
      <c r="Z13" s="11" t="n">
        <f aca="false">Z12*IF(Z4&lt;=12,Assumptions!$B$16,IF(Z4&lt;=24,Assumptions!$B$17,Assumptions!$B$18))</f>
        <v>63502.8720527059</v>
      </c>
      <c r="AA13" s="11" t="n">
        <f aca="false">AA12*IF(AA4&lt;=12,Assumptions!$B$16,IF(AA4&lt;=24,Assumptions!$B$17,Assumptions!$B$18))</f>
        <v>68019.8433321789</v>
      </c>
      <c r="AB13" s="11" t="n">
        <f aca="false">AB12*IF(AB4&lt;=12,Assumptions!$B$16,IF(AB4&lt;=24,Assumptions!$B$17,Assumptions!$B$18))</f>
        <v>72652.6448988571</v>
      </c>
      <c r="AC13" s="11" t="n">
        <f aca="false">AC12*IF(AC4&lt;=12,Assumptions!$B$16,IF(AC4&lt;=24,Assumptions!$B$17,Assumptions!$B$18))</f>
        <v>77400.1184498685</v>
      </c>
      <c r="AD13" s="11" t="n">
        <f aca="false">AD12*IF(AD4&lt;=12,Assumptions!$B$16,IF(AD4&lt;=24,Assumptions!$B$17,Assumptions!$B$18))</f>
        <v>82261.1172653698</v>
      </c>
      <c r="AE13" s="11" t="n">
        <f aca="false">AE12*IF(AE4&lt;=12,Assumptions!$B$16,IF(AE4&lt;=24,Assumptions!$B$17,Assumptions!$B$18))</f>
        <v>87234.5060927161</v>
      </c>
      <c r="AF13" s="11" t="n">
        <f aca="false">AF12*IF(AF4&lt;=12,Assumptions!$B$16,IF(AF4&lt;=24,Assumptions!$B$17,Assumptions!$B$18))</f>
        <v>92319.161031789</v>
      </c>
      <c r="AG13" s="11" t="n">
        <f aca="false">AG12*IF(AG4&lt;=12,Assumptions!$B$16,IF(AG4&lt;=24,Assumptions!$B$17,Assumptions!$B$18))</f>
        <v>97513.9694214711</v>
      </c>
      <c r="AH13" s="11" t="n">
        <f aca="false">AH12*IF(AH4&lt;=12,Assumptions!$B$16,IF(AH4&lt;=24,Assumptions!$B$17,Assumptions!$B$18))</f>
        <v>102817.829727256</v>
      </c>
      <c r="AI13" s="11" t="n">
        <f aca="false">AI12*IF(AI4&lt;=12,Assumptions!$B$16,IF(AI4&lt;=24,Assumptions!$B$17,Assumptions!$B$18))</f>
        <v>108229.651429984</v>
      </c>
      <c r="AJ13" s="11" t="n">
        <f aca="false">AJ12*IF(AJ4&lt;=12,Assumptions!$B$16,IF(AJ4&lt;=24,Assumptions!$B$17,Assumptions!$B$18))</f>
        <v>113748.354915684</v>
      </c>
      <c r="AK13" s="11" t="n">
        <f aca="false">AK12*IF(AK4&lt;=12,Assumptions!$B$16,IF(AK4&lt;=24,Assumptions!$B$17,Assumptions!$B$18))</f>
        <v>119372.871366527</v>
      </c>
      <c r="AL13" s="2"/>
    </row>
    <row r="14" customFormat="false" ht="15" hidden="false" customHeight="false" outlineLevel="0" collapsed="false">
      <c r="A14" s="10" t="s">
        <v>124</v>
      </c>
      <c r="B14" s="24" t="n">
        <f aca="false">B12+B13</f>
        <v>3099.888</v>
      </c>
      <c r="C14" s="24" t="n">
        <f aca="false">C12+C13</f>
        <v>3068.88912</v>
      </c>
      <c r="D14" s="24" t="n">
        <f aca="false">D12+D13</f>
        <v>3038.2002288</v>
      </c>
      <c r="E14" s="24" t="n">
        <f aca="false">E12+E13</f>
        <v>6561.318226512</v>
      </c>
      <c r="F14" s="24" t="n">
        <f aca="false">F12+F13</f>
        <v>12418.2050442469</v>
      </c>
      <c r="G14" s="24" t="n">
        <f aca="false">G12+G13</f>
        <v>20585.5229938044</v>
      </c>
      <c r="H14" s="24" t="n">
        <f aca="false">H12+H13</f>
        <v>29855.6677638664</v>
      </c>
      <c r="I14" s="24" t="n">
        <f aca="false">I12+I13</f>
        <v>40217.6110862277</v>
      </c>
      <c r="J14" s="24" t="n">
        <f aca="false">J12+J13</f>
        <v>52844.9349753654</v>
      </c>
      <c r="K14" s="24" t="n">
        <f aca="false">K12+K13</f>
        <v>68394.7856256118</v>
      </c>
      <c r="L14" s="24" t="n">
        <f aca="false">L12+L13</f>
        <v>84293.8377693556</v>
      </c>
      <c r="M14" s="24" t="n">
        <f aca="false">M12+M13</f>
        <v>102402.899391662</v>
      </c>
      <c r="N14" s="24" t="n">
        <f aca="false">N12+N13</f>
        <v>133666.90743752</v>
      </c>
      <c r="O14" s="24" t="n">
        <f aca="false">O12+O13</f>
        <v>156365.238363145</v>
      </c>
      <c r="P14" s="24" t="n">
        <f aca="false">P12+P13</f>
        <v>180101.585979513</v>
      </c>
      <c r="Q14" s="24" t="n">
        <f aca="false">Q12+Q13</f>
        <v>206130.570119718</v>
      </c>
      <c r="R14" s="24" t="n">
        <f aca="false">R12+R13</f>
        <v>233164.264418521</v>
      </c>
      <c r="S14" s="24" t="n">
        <f aca="false">S12+S13</f>
        <v>261192.621774336</v>
      </c>
      <c r="T14" s="24" t="n">
        <f aca="false">T12+T13</f>
        <v>290205.695556593</v>
      </c>
      <c r="U14" s="24" t="n">
        <f aca="false">U12+U13</f>
        <v>320193.638601027</v>
      </c>
      <c r="V14" s="24" t="n">
        <f aca="false">V12+V13</f>
        <v>351146.702215016</v>
      </c>
      <c r="W14" s="24" t="n">
        <f aca="false">W12+W13</f>
        <v>383055.235192866</v>
      </c>
      <c r="X14" s="24" t="n">
        <f aca="false">X12+X13</f>
        <v>415909.682840937</v>
      </c>
      <c r="Y14" s="24" t="n">
        <f aca="false">Y12+Y13</f>
        <v>449700.586012528</v>
      </c>
      <c r="Z14" s="24" t="n">
        <f aca="false">Z12+Z13</f>
        <v>517094.815286319</v>
      </c>
      <c r="AA14" s="24" t="n">
        <f aca="false">AA12+AA13</f>
        <v>553875.867133456</v>
      </c>
      <c r="AB14" s="24" t="n">
        <f aca="false">AB12+AB13</f>
        <v>591600.108462122</v>
      </c>
      <c r="AC14" s="24" t="n">
        <f aca="false">AC12+AC13</f>
        <v>630258.107377501</v>
      </c>
      <c r="AD14" s="24" t="n">
        <f aca="false">AD12+AD13</f>
        <v>669840.526303726</v>
      </c>
      <c r="AE14" s="24" t="n">
        <f aca="false">AE12+AE13</f>
        <v>710338.121040688</v>
      </c>
      <c r="AF14" s="24" t="n">
        <f aca="false">AF12+AF13</f>
        <v>751741.739830281</v>
      </c>
      <c r="AG14" s="24" t="n">
        <f aca="false">AG12+AG13</f>
        <v>794042.322431979</v>
      </c>
      <c r="AH14" s="24" t="n">
        <f aca="false">AH12+AH13</f>
        <v>837230.899207659</v>
      </c>
      <c r="AI14" s="24" t="n">
        <f aca="false">AI12+AI13</f>
        <v>881298.590215582</v>
      </c>
      <c r="AJ14" s="24" t="n">
        <f aca="false">AJ12+AJ13</f>
        <v>926236.604313426</v>
      </c>
      <c r="AK14" s="24" t="n">
        <f aca="false">AK12+AK13</f>
        <v>972036.238270292</v>
      </c>
      <c r="AL14" s="2"/>
    </row>
    <row r="15" customFormat="false" ht="15" hidden="false" customHeight="false" outlineLevel="0" collapsed="false">
      <c r="A15" s="10" t="s">
        <v>125</v>
      </c>
      <c r="B15" s="11" t="n">
        <f aca="false">B14*12</f>
        <v>37198.656</v>
      </c>
      <c r="C15" s="11" t="n">
        <f aca="false">C14*12</f>
        <v>36826.66944</v>
      </c>
      <c r="D15" s="11" t="n">
        <f aca="false">D14*12</f>
        <v>36458.4027456</v>
      </c>
      <c r="E15" s="11" t="n">
        <f aca="false">E14*12</f>
        <v>78735.818718144</v>
      </c>
      <c r="F15" s="11" t="n">
        <f aca="false">F14*12</f>
        <v>149018.460530963</v>
      </c>
      <c r="G15" s="11" t="n">
        <f aca="false">G14*12</f>
        <v>247026.275925653</v>
      </c>
      <c r="H15" s="11" t="n">
        <f aca="false">H14*12</f>
        <v>358268.013166396</v>
      </c>
      <c r="I15" s="11" t="n">
        <f aca="false">I14*12</f>
        <v>482611.333034732</v>
      </c>
      <c r="J15" s="11" t="n">
        <f aca="false">J14*12</f>
        <v>634139.219704385</v>
      </c>
      <c r="K15" s="11" t="n">
        <f aca="false">K14*12</f>
        <v>820737.427507341</v>
      </c>
      <c r="L15" s="11" t="n">
        <f aca="false">L14*12</f>
        <v>1011526.05323227</v>
      </c>
      <c r="M15" s="11" t="n">
        <f aca="false">M14*12</f>
        <v>1228834.79269995</v>
      </c>
      <c r="N15" s="11" t="n">
        <f aca="false">N14*12</f>
        <v>1604002.88925024</v>
      </c>
      <c r="O15" s="11" t="n">
        <f aca="false">O14*12</f>
        <v>1876382.86035774</v>
      </c>
      <c r="P15" s="11" t="n">
        <f aca="false">P14*12</f>
        <v>2161219.03175416</v>
      </c>
      <c r="Q15" s="11" t="n">
        <f aca="false">Q14*12</f>
        <v>2473566.84143662</v>
      </c>
      <c r="R15" s="11" t="n">
        <f aca="false">R14*12</f>
        <v>2797971.17302225</v>
      </c>
      <c r="S15" s="11" t="n">
        <f aca="false">S14*12</f>
        <v>3134311.46129203</v>
      </c>
      <c r="T15" s="11" t="n">
        <f aca="false">T14*12</f>
        <v>3482468.34667911</v>
      </c>
      <c r="U15" s="11" t="n">
        <f aca="false">U14*12</f>
        <v>3842323.66321232</v>
      </c>
      <c r="V15" s="11" t="n">
        <f aca="false">V14*12</f>
        <v>4213760.4265802</v>
      </c>
      <c r="W15" s="11" t="n">
        <f aca="false">W14*12</f>
        <v>4596662.82231439</v>
      </c>
      <c r="X15" s="11" t="n">
        <f aca="false">X14*12</f>
        <v>4990916.19409125</v>
      </c>
      <c r="Y15" s="11" t="n">
        <f aca="false">Y14*12</f>
        <v>5396407.03215034</v>
      </c>
      <c r="Z15" s="11" t="n">
        <f aca="false">Z14*12</f>
        <v>6205137.78343583</v>
      </c>
      <c r="AA15" s="11" t="n">
        <f aca="false">AA14*12</f>
        <v>6646510.40560148</v>
      </c>
      <c r="AB15" s="11" t="n">
        <f aca="false">AB14*12</f>
        <v>7099201.30154546</v>
      </c>
      <c r="AC15" s="11" t="n">
        <f aca="false">AC14*12</f>
        <v>7563097.28853001</v>
      </c>
      <c r="AD15" s="11" t="n">
        <f aca="false">AD14*12</f>
        <v>8038086.31564471</v>
      </c>
      <c r="AE15" s="11" t="n">
        <f aca="false">AE14*12</f>
        <v>8524057.45248826</v>
      </c>
      <c r="AF15" s="11" t="n">
        <f aca="false">AF14*12</f>
        <v>9020900.87796338</v>
      </c>
      <c r="AG15" s="11" t="n">
        <f aca="false">AG14*12</f>
        <v>9528507.86918374</v>
      </c>
      <c r="AH15" s="11" t="n">
        <f aca="false">AH14*12</f>
        <v>10046770.7904919</v>
      </c>
      <c r="AI15" s="11" t="n">
        <f aca="false">AI14*12</f>
        <v>10575583.082587</v>
      </c>
      <c r="AJ15" s="11" t="n">
        <f aca="false">AJ14*12</f>
        <v>11114839.2517611</v>
      </c>
      <c r="AK15" s="11" t="n">
        <f aca="false">AK14*12</f>
        <v>11664434.8592435</v>
      </c>
      <c r="AL15" s="2"/>
    </row>
    <row r="16" customFormat="false" ht="15" hidden="false" customHeight="false" outlineLevel="0" collapsed="false">
      <c r="A16" s="4" t="s">
        <v>126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customFormat="false" ht="15" hidden="false" customHeight="false" outlineLevel="0" collapsed="false">
      <c r="A17" s="21" t="s">
        <v>127</v>
      </c>
      <c r="B17" s="11" t="n">
        <f aca="false">B8*Assumptions!$B$7</f>
        <v>0</v>
      </c>
      <c r="C17" s="11" t="n">
        <f aca="false">C8*Assumptions!$B$7</f>
        <v>0</v>
      </c>
      <c r="D17" s="11" t="n">
        <f aca="false">D8*Assumptions!$B$7</f>
        <v>0</v>
      </c>
      <c r="E17" s="11" t="n">
        <f aca="false">E8*Assumptions!$B$7</f>
        <v>12000</v>
      </c>
      <c r="F17" s="11" t="n">
        <f aca="false">F8*Assumptions!$B$7</f>
        <v>20000</v>
      </c>
      <c r="G17" s="11" t="n">
        <f aca="false">G8*Assumptions!$B$7</f>
        <v>28000</v>
      </c>
      <c r="H17" s="11" t="n">
        <f aca="false">H8*Assumptions!$B$7</f>
        <v>32000</v>
      </c>
      <c r="I17" s="11" t="n">
        <f aca="false">I8*Assumptions!$B$7</f>
        <v>36000</v>
      </c>
      <c r="J17" s="11" t="n">
        <f aca="false">J8*Assumptions!$B$7</f>
        <v>44000</v>
      </c>
      <c r="K17" s="11" t="n">
        <f aca="false">K8*Assumptions!$B$7</f>
        <v>52000</v>
      </c>
      <c r="L17" s="11" t="n">
        <f aca="false">L8*Assumptions!$B$7</f>
        <v>56000</v>
      </c>
      <c r="M17" s="11" t="n">
        <f aca="false">M8*Assumptions!$B$7</f>
        <v>64000</v>
      </c>
      <c r="N17" s="11" t="n">
        <f aca="false">N8*Assumptions!$B$7</f>
        <v>68000</v>
      </c>
      <c r="O17" s="11" t="n">
        <f aca="false">O8*Assumptions!$B$7</f>
        <v>76000</v>
      </c>
      <c r="P17" s="11" t="n">
        <f aca="false">P8*Assumptions!$B$7</f>
        <v>80000</v>
      </c>
      <c r="Q17" s="11" t="n">
        <f aca="false">Q8*Assumptions!$B$7</f>
        <v>88000</v>
      </c>
      <c r="R17" s="11" t="n">
        <f aca="false">R8*Assumptions!$B$7</f>
        <v>92000</v>
      </c>
      <c r="S17" s="11" t="n">
        <f aca="false">S8*Assumptions!$B$7</f>
        <v>96000</v>
      </c>
      <c r="T17" s="11" t="n">
        <f aca="false">T8*Assumptions!$B$7</f>
        <v>100000</v>
      </c>
      <c r="U17" s="11" t="n">
        <f aca="false">U8*Assumptions!$B$7</f>
        <v>104000</v>
      </c>
      <c r="V17" s="11" t="n">
        <f aca="false">V8*Assumptions!$B$7</f>
        <v>108000</v>
      </c>
      <c r="W17" s="11" t="n">
        <f aca="false">W8*Assumptions!$B$7</f>
        <v>112000</v>
      </c>
      <c r="X17" s="11" t="n">
        <f aca="false">X8*Assumptions!$B$7</f>
        <v>116000</v>
      </c>
      <c r="Y17" s="11" t="n">
        <f aca="false">Y8*Assumptions!$B$7</f>
        <v>120000</v>
      </c>
      <c r="Z17" s="11" t="n">
        <f aca="false">Z8*Assumptions!$B$7</f>
        <v>124000</v>
      </c>
      <c r="AA17" s="11" t="n">
        <f aca="false">AA8*Assumptions!$B$7</f>
        <v>128000</v>
      </c>
      <c r="AB17" s="11" t="n">
        <f aca="false">AB8*Assumptions!$B$7</f>
        <v>132000</v>
      </c>
      <c r="AC17" s="11" t="n">
        <f aca="false">AC8*Assumptions!$B$7</f>
        <v>136000</v>
      </c>
      <c r="AD17" s="11" t="n">
        <f aca="false">AD8*Assumptions!$B$7</f>
        <v>140000</v>
      </c>
      <c r="AE17" s="11" t="n">
        <f aca="false">AE8*Assumptions!$B$7</f>
        <v>144000</v>
      </c>
      <c r="AF17" s="11" t="n">
        <f aca="false">AF8*Assumptions!$B$7</f>
        <v>148000</v>
      </c>
      <c r="AG17" s="11" t="n">
        <f aca="false">AG8*Assumptions!$B$7</f>
        <v>152000</v>
      </c>
      <c r="AH17" s="11" t="n">
        <f aca="false">AH8*Assumptions!$B$7</f>
        <v>156000</v>
      </c>
      <c r="AI17" s="11" t="n">
        <f aca="false">AI8*Assumptions!$B$7</f>
        <v>160000</v>
      </c>
      <c r="AJ17" s="11" t="n">
        <f aca="false">AJ8*Assumptions!$B$7</f>
        <v>164000</v>
      </c>
      <c r="AK17" s="11" t="n">
        <f aca="false">AK8*Assumptions!$B$7</f>
        <v>168000</v>
      </c>
      <c r="AL17" s="2"/>
    </row>
    <row r="18" customFormat="false" ht="15" hidden="false" customHeight="false" outlineLevel="0" collapsed="false">
      <c r="A18" s="10" t="s">
        <v>128</v>
      </c>
      <c r="B18" s="24" t="n">
        <f aca="false">B14+B17</f>
        <v>3099.888</v>
      </c>
      <c r="C18" s="24" t="n">
        <f aca="false">C14+C17</f>
        <v>3068.88912</v>
      </c>
      <c r="D18" s="24" t="n">
        <f aca="false">D14+D17</f>
        <v>3038.2002288</v>
      </c>
      <c r="E18" s="24" t="n">
        <f aca="false">E14+E17</f>
        <v>18561.318226512</v>
      </c>
      <c r="F18" s="24" t="n">
        <f aca="false">F14+F17</f>
        <v>32418.2050442469</v>
      </c>
      <c r="G18" s="24" t="n">
        <f aca="false">G14+G17</f>
        <v>48585.5229938044</v>
      </c>
      <c r="H18" s="24" t="n">
        <f aca="false">H14+H17</f>
        <v>61855.6677638664</v>
      </c>
      <c r="I18" s="24" t="n">
        <f aca="false">I14+I17</f>
        <v>76217.6110862277</v>
      </c>
      <c r="J18" s="24" t="n">
        <f aca="false">J14+J17</f>
        <v>96844.9349753654</v>
      </c>
      <c r="K18" s="24" t="n">
        <f aca="false">K14+K17</f>
        <v>120394.785625612</v>
      </c>
      <c r="L18" s="24" t="n">
        <f aca="false">L14+L17</f>
        <v>140293.837769356</v>
      </c>
      <c r="M18" s="24" t="n">
        <f aca="false">M14+M17</f>
        <v>166402.899391662</v>
      </c>
      <c r="N18" s="24" t="n">
        <f aca="false">N14+N17</f>
        <v>201666.90743752</v>
      </c>
      <c r="O18" s="24" t="n">
        <f aca="false">O14+O17</f>
        <v>232365.238363145</v>
      </c>
      <c r="P18" s="24" t="n">
        <f aca="false">P14+P17</f>
        <v>260101.585979513</v>
      </c>
      <c r="Q18" s="24" t="n">
        <f aca="false">Q14+Q17</f>
        <v>294130.570119718</v>
      </c>
      <c r="R18" s="24" t="n">
        <f aca="false">R14+R17</f>
        <v>325164.264418521</v>
      </c>
      <c r="S18" s="24" t="n">
        <f aca="false">S14+S17</f>
        <v>357192.621774336</v>
      </c>
      <c r="T18" s="24" t="n">
        <f aca="false">T14+T17</f>
        <v>390205.695556593</v>
      </c>
      <c r="U18" s="24" t="n">
        <f aca="false">U14+U17</f>
        <v>424193.638601027</v>
      </c>
      <c r="V18" s="24" t="n">
        <f aca="false">V14+V17</f>
        <v>459146.702215016</v>
      </c>
      <c r="W18" s="24" t="n">
        <f aca="false">W14+W17</f>
        <v>495055.235192866</v>
      </c>
      <c r="X18" s="24" t="n">
        <f aca="false">X14+X17</f>
        <v>531909.682840937</v>
      </c>
      <c r="Y18" s="24" t="n">
        <f aca="false">Y14+Y17</f>
        <v>569700.586012528</v>
      </c>
      <c r="Z18" s="24" t="n">
        <f aca="false">Z14+Z17</f>
        <v>641094.81528632</v>
      </c>
      <c r="AA18" s="24" t="n">
        <f aca="false">AA14+AA17</f>
        <v>681875.867133456</v>
      </c>
      <c r="AB18" s="24" t="n">
        <f aca="false">AB14+AB17</f>
        <v>723600.108462122</v>
      </c>
      <c r="AC18" s="24" t="n">
        <f aca="false">AC14+AC17</f>
        <v>766258.107377501</v>
      </c>
      <c r="AD18" s="24" t="n">
        <f aca="false">AD14+AD17</f>
        <v>809840.526303726</v>
      </c>
      <c r="AE18" s="24" t="n">
        <f aca="false">AE14+AE17</f>
        <v>854338.121040688</v>
      </c>
      <c r="AF18" s="24" t="n">
        <f aca="false">AF14+AF17</f>
        <v>899741.739830281</v>
      </c>
      <c r="AG18" s="24" t="n">
        <f aca="false">AG14+AG17</f>
        <v>946042.322431979</v>
      </c>
      <c r="AH18" s="24" t="n">
        <f aca="false">AH14+AH17</f>
        <v>993230.899207659</v>
      </c>
      <c r="AI18" s="24" t="n">
        <f aca="false">AI14+AI17</f>
        <v>1041298.59021558</v>
      </c>
      <c r="AJ18" s="24" t="n">
        <f aca="false">AJ14+AJ17</f>
        <v>1090236.60431343</v>
      </c>
      <c r="AK18" s="24" t="n">
        <f aca="false">AK14+AK17</f>
        <v>1140036.23827029</v>
      </c>
      <c r="AL18" s="2"/>
    </row>
    <row r="19" customFormat="false" ht="15" hidden="false" customHeight="false" outlineLevel="0" collapsed="false">
      <c r="A19" s="4" t="s">
        <v>129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customFormat="false" ht="15" hidden="false" customHeight="false" outlineLevel="0" collapsed="false">
      <c r="A20" s="21" t="s">
        <v>130</v>
      </c>
      <c r="B20" s="11" t="n">
        <f aca="false">IF(B4&gt;=Assumptions!$B$28,Assumptions!$B$27/12,0)+IF(B4&gt;=13,Assumptions!$B$47/12,0)</f>
        <v>0</v>
      </c>
      <c r="C20" s="11" t="n">
        <f aca="false">IF(C4&gt;=Assumptions!$B$28,Assumptions!$B$27/12,0)+IF(C4&gt;=13,Assumptions!$B$47/12,0)</f>
        <v>0</v>
      </c>
      <c r="D20" s="11" t="n">
        <f aca="false">IF(D4&gt;=Assumptions!$B$28,Assumptions!$B$27/12,0)+IF(D4&gt;=13,Assumptions!$B$47/12,0)</f>
        <v>13333.3333333333</v>
      </c>
      <c r="E20" s="11" t="n">
        <f aca="false">IF(E4&gt;=Assumptions!$B$28,Assumptions!$B$27/12,0)+IF(E4&gt;=13,Assumptions!$B$47/12,0)</f>
        <v>13333.3333333333</v>
      </c>
      <c r="F20" s="11" t="n">
        <f aca="false">IF(F4&gt;=Assumptions!$B$28,Assumptions!$B$27/12,0)+IF(F4&gt;=13,Assumptions!$B$47/12,0)</f>
        <v>13333.3333333333</v>
      </c>
      <c r="G20" s="11" t="n">
        <f aca="false">IF(G4&gt;=Assumptions!$B$28,Assumptions!$B$27/12,0)+IF(G4&gt;=13,Assumptions!$B$47/12,0)</f>
        <v>13333.3333333333</v>
      </c>
      <c r="H20" s="11" t="n">
        <f aca="false">IF(H4&gt;=Assumptions!$B$28,Assumptions!$B$27/12,0)+IF(H4&gt;=13,Assumptions!$B$47/12,0)</f>
        <v>13333.3333333333</v>
      </c>
      <c r="I20" s="11" t="n">
        <f aca="false">IF(I4&gt;=Assumptions!$B$28,Assumptions!$B$27/12,0)+IF(I4&gt;=13,Assumptions!$B$47/12,0)</f>
        <v>13333.3333333333</v>
      </c>
      <c r="J20" s="11" t="n">
        <f aca="false">IF(J4&gt;=Assumptions!$B$28,Assumptions!$B$27/12,0)+IF(J4&gt;=13,Assumptions!$B$47/12,0)</f>
        <v>13333.3333333333</v>
      </c>
      <c r="K20" s="11" t="n">
        <f aca="false">IF(K4&gt;=Assumptions!$B$28,Assumptions!$B$27/12,0)+IF(K4&gt;=13,Assumptions!$B$47/12,0)</f>
        <v>13333.3333333333</v>
      </c>
      <c r="L20" s="11" t="n">
        <f aca="false">IF(L4&gt;=Assumptions!$B$28,Assumptions!$B$27/12,0)+IF(L4&gt;=13,Assumptions!$B$47/12,0)</f>
        <v>13333.3333333333</v>
      </c>
      <c r="M20" s="11" t="n">
        <f aca="false">IF(M4&gt;=Assumptions!$B$28,Assumptions!$B$27/12,0)+IF(M4&gt;=13,Assumptions!$B$47/12,0)</f>
        <v>13333.3333333333</v>
      </c>
      <c r="N20" s="11" t="n">
        <f aca="false">IF(N4&gt;=Assumptions!$B$28,Assumptions!$B$27/12,0)+IF(N4&gt;=13,Assumptions!$B$47/12,0)</f>
        <v>20000</v>
      </c>
      <c r="O20" s="11" t="n">
        <f aca="false">IF(O4&gt;=Assumptions!$B$28,Assumptions!$B$27/12,0)+IF(O4&gt;=13,Assumptions!$B$47/12,0)</f>
        <v>20000</v>
      </c>
      <c r="P20" s="11" t="n">
        <f aca="false">IF(P4&gt;=Assumptions!$B$28,Assumptions!$B$27/12,0)+IF(P4&gt;=13,Assumptions!$B$47/12,0)</f>
        <v>20000</v>
      </c>
      <c r="Q20" s="11" t="n">
        <f aca="false">IF(Q4&gt;=Assumptions!$B$28,Assumptions!$B$27/12,0)+IF(Q4&gt;=13,Assumptions!$B$47/12,0)</f>
        <v>20000</v>
      </c>
      <c r="R20" s="11" t="n">
        <f aca="false">IF(R4&gt;=Assumptions!$B$28,Assumptions!$B$27/12,0)+IF(R4&gt;=13,Assumptions!$B$47/12,0)</f>
        <v>20000</v>
      </c>
      <c r="S20" s="11" t="n">
        <f aca="false">IF(S4&gt;=Assumptions!$B$28,Assumptions!$B$27/12,0)+IF(S4&gt;=13,Assumptions!$B$47/12,0)</f>
        <v>20000</v>
      </c>
      <c r="T20" s="11" t="n">
        <f aca="false">IF(T4&gt;=Assumptions!$B$28,Assumptions!$B$27/12,0)+IF(T4&gt;=13,Assumptions!$B$47/12,0)</f>
        <v>20000</v>
      </c>
      <c r="U20" s="11" t="n">
        <f aca="false">IF(U4&gt;=Assumptions!$B$28,Assumptions!$B$27/12,0)+IF(U4&gt;=13,Assumptions!$B$47/12,0)</f>
        <v>20000</v>
      </c>
      <c r="V20" s="11" t="n">
        <f aca="false">IF(V4&gt;=Assumptions!$B$28,Assumptions!$B$27/12,0)+IF(V4&gt;=13,Assumptions!$B$47/12,0)</f>
        <v>20000</v>
      </c>
      <c r="W20" s="11" t="n">
        <f aca="false">IF(W4&gt;=Assumptions!$B$28,Assumptions!$B$27/12,0)+IF(W4&gt;=13,Assumptions!$B$47/12,0)</f>
        <v>20000</v>
      </c>
      <c r="X20" s="11" t="n">
        <f aca="false">IF(X4&gt;=Assumptions!$B$28,Assumptions!$B$27/12,0)+IF(X4&gt;=13,Assumptions!$B$47/12,0)</f>
        <v>20000</v>
      </c>
      <c r="Y20" s="11" t="n">
        <f aca="false">IF(Y4&gt;=Assumptions!$B$28,Assumptions!$B$27/12,0)+IF(Y4&gt;=13,Assumptions!$B$47/12,0)</f>
        <v>20000</v>
      </c>
      <c r="Z20" s="11" t="n">
        <f aca="false">IF(Z4&gt;=Assumptions!$B$28,Assumptions!$B$27/12,0)+IF(Z4&gt;=13,Assumptions!$B$47/12,0)</f>
        <v>20000</v>
      </c>
      <c r="AA20" s="11" t="n">
        <f aca="false">IF(AA4&gt;=Assumptions!$B$28,Assumptions!$B$27/12,0)+IF(AA4&gt;=13,Assumptions!$B$47/12,0)</f>
        <v>20000</v>
      </c>
      <c r="AB20" s="11" t="n">
        <f aca="false">IF(AB4&gt;=Assumptions!$B$28,Assumptions!$B$27/12,0)+IF(AB4&gt;=13,Assumptions!$B$47/12,0)</f>
        <v>20000</v>
      </c>
      <c r="AC20" s="11" t="n">
        <f aca="false">IF(AC4&gt;=Assumptions!$B$28,Assumptions!$B$27/12,0)+IF(AC4&gt;=13,Assumptions!$B$47/12,0)</f>
        <v>20000</v>
      </c>
      <c r="AD20" s="11" t="n">
        <f aca="false">IF(AD4&gt;=Assumptions!$B$28,Assumptions!$B$27/12,0)+IF(AD4&gt;=13,Assumptions!$B$47/12,0)</f>
        <v>20000</v>
      </c>
      <c r="AE20" s="11" t="n">
        <f aca="false">IF(AE4&gt;=Assumptions!$B$28,Assumptions!$B$27/12,0)+IF(AE4&gt;=13,Assumptions!$B$47/12,0)</f>
        <v>20000</v>
      </c>
      <c r="AF20" s="11" t="n">
        <f aca="false">IF(AF4&gt;=Assumptions!$B$28,Assumptions!$B$27/12,0)+IF(AF4&gt;=13,Assumptions!$B$47/12,0)</f>
        <v>20000</v>
      </c>
      <c r="AG20" s="11" t="n">
        <f aca="false">IF(AG4&gt;=Assumptions!$B$28,Assumptions!$B$27/12,0)+IF(AG4&gt;=13,Assumptions!$B$47/12,0)</f>
        <v>20000</v>
      </c>
      <c r="AH20" s="11" t="n">
        <f aca="false">IF(AH4&gt;=Assumptions!$B$28,Assumptions!$B$27/12,0)+IF(AH4&gt;=13,Assumptions!$B$47/12,0)</f>
        <v>20000</v>
      </c>
      <c r="AI20" s="11" t="n">
        <f aca="false">IF(AI4&gt;=Assumptions!$B$28,Assumptions!$B$27/12,0)+IF(AI4&gt;=13,Assumptions!$B$47/12,0)</f>
        <v>20000</v>
      </c>
      <c r="AJ20" s="11" t="n">
        <f aca="false">IF(AJ4&gt;=Assumptions!$B$28,Assumptions!$B$27/12,0)+IF(AJ4&gt;=13,Assumptions!$B$47/12,0)</f>
        <v>20000</v>
      </c>
      <c r="AK20" s="11" t="n">
        <f aca="false">IF(AK4&gt;=Assumptions!$B$28,Assumptions!$B$27/12,0)+IF(AK4&gt;=13,Assumptions!$B$47/12,0)</f>
        <v>20000</v>
      </c>
      <c r="AL20" s="2"/>
    </row>
    <row r="21" customFormat="false" ht="15" hidden="false" customHeight="false" outlineLevel="0" collapsed="false">
      <c r="A21" s="21" t="s">
        <v>131</v>
      </c>
      <c r="B21" s="11" t="n">
        <f aca="false">IF(B4&gt;=Assumptions!$B$29,MAX(1,ROUNDUP(B8/Assumptions!$B$40,0)),0)*Assumptions!$B$41/12</f>
        <v>0</v>
      </c>
      <c r="C21" s="11" t="n">
        <f aca="false">IF(C4&gt;=Assumptions!$B$29,MAX(1,ROUNDUP(C8/Assumptions!$B$40,0)),0)*Assumptions!$B$41/12</f>
        <v>5333.33333333333</v>
      </c>
      <c r="D21" s="11" t="n">
        <f aca="false">IF(D4&gt;=Assumptions!$B$29,MAX(1,ROUNDUP(D8/Assumptions!$B$40,0)),0)*Assumptions!$B$41/12</f>
        <v>5333.33333333333</v>
      </c>
      <c r="E21" s="11" t="n">
        <f aca="false">IF(E4&gt;=Assumptions!$B$29,MAX(1,ROUNDUP(E8/Assumptions!$B$40,0)),0)*Assumptions!$B$41/12</f>
        <v>5333.33333333333</v>
      </c>
      <c r="F21" s="11" t="n">
        <f aca="false">IF(F4&gt;=Assumptions!$B$29,MAX(1,ROUNDUP(F8/Assumptions!$B$40,0)),0)*Assumptions!$B$41/12</f>
        <v>5333.33333333333</v>
      </c>
      <c r="G21" s="11" t="n">
        <f aca="false">IF(G4&gt;=Assumptions!$B$29,MAX(1,ROUNDUP(G8/Assumptions!$B$40,0)),0)*Assumptions!$B$41/12</f>
        <v>5333.33333333333</v>
      </c>
      <c r="H21" s="11" t="n">
        <f aca="false">IF(H4&gt;=Assumptions!$B$29,MAX(1,ROUNDUP(H8/Assumptions!$B$40,0)),0)*Assumptions!$B$41/12</f>
        <v>5333.33333333333</v>
      </c>
      <c r="I21" s="11" t="n">
        <f aca="false">IF(I4&gt;=Assumptions!$B$29,MAX(1,ROUNDUP(I8/Assumptions!$B$40,0)),0)*Assumptions!$B$41/12</f>
        <v>10666.6666666667</v>
      </c>
      <c r="J21" s="11" t="n">
        <f aca="false">IF(J4&gt;=Assumptions!$B$29,MAX(1,ROUNDUP(J8/Assumptions!$B$40,0)),0)*Assumptions!$B$41/12</f>
        <v>10666.6666666667</v>
      </c>
      <c r="K21" s="11" t="n">
        <f aca="false">IF(K4&gt;=Assumptions!$B$29,MAX(1,ROUNDUP(K8/Assumptions!$B$40,0)),0)*Assumptions!$B$41/12</f>
        <v>10666.6666666667</v>
      </c>
      <c r="L21" s="11" t="n">
        <f aca="false">IF(L4&gt;=Assumptions!$B$29,MAX(1,ROUNDUP(L8/Assumptions!$B$40,0)),0)*Assumptions!$B$41/12</f>
        <v>10666.6666666667</v>
      </c>
      <c r="M21" s="11" t="n">
        <f aca="false">IF(M4&gt;=Assumptions!$B$29,MAX(1,ROUNDUP(M8/Assumptions!$B$40,0)),0)*Assumptions!$B$41/12</f>
        <v>10666.6666666667</v>
      </c>
      <c r="N21" s="11" t="n">
        <f aca="false">IF(N4&gt;=Assumptions!$B$29,MAX(1,ROUNDUP(N8/Assumptions!$B$40,0)),0)*Assumptions!$B$41/12</f>
        <v>16000</v>
      </c>
      <c r="O21" s="11" t="n">
        <f aca="false">IF(O4&gt;=Assumptions!$B$29,MAX(1,ROUNDUP(O8/Assumptions!$B$40,0)),0)*Assumptions!$B$41/12</f>
        <v>16000</v>
      </c>
      <c r="P21" s="11" t="n">
        <f aca="false">IF(P4&gt;=Assumptions!$B$29,MAX(1,ROUNDUP(P8/Assumptions!$B$40,0)),0)*Assumptions!$B$41/12</f>
        <v>16000</v>
      </c>
      <c r="Q21" s="11" t="n">
        <f aca="false">IF(Q4&gt;=Assumptions!$B$29,MAX(1,ROUNDUP(Q8/Assumptions!$B$40,0)),0)*Assumptions!$B$41/12</f>
        <v>16000</v>
      </c>
      <c r="R21" s="11" t="n">
        <f aca="false">IF(R4&gt;=Assumptions!$B$29,MAX(1,ROUNDUP(R8/Assumptions!$B$40,0)),0)*Assumptions!$B$41/12</f>
        <v>16000</v>
      </c>
      <c r="S21" s="11" t="n">
        <f aca="false">IF(S4&gt;=Assumptions!$B$29,MAX(1,ROUNDUP(S8/Assumptions!$B$40,0)),0)*Assumptions!$B$41/12</f>
        <v>16000</v>
      </c>
      <c r="T21" s="11" t="n">
        <f aca="false">IF(T4&gt;=Assumptions!$B$29,MAX(1,ROUNDUP(T8/Assumptions!$B$40,0)),0)*Assumptions!$B$41/12</f>
        <v>21333.3333333333</v>
      </c>
      <c r="U21" s="11" t="n">
        <f aca="false">IF(U4&gt;=Assumptions!$B$29,MAX(1,ROUNDUP(U8/Assumptions!$B$40,0)),0)*Assumptions!$B$41/12</f>
        <v>21333.3333333333</v>
      </c>
      <c r="V21" s="11" t="n">
        <f aca="false">IF(V4&gt;=Assumptions!$B$29,MAX(1,ROUNDUP(V8/Assumptions!$B$40,0)),0)*Assumptions!$B$41/12</f>
        <v>21333.3333333333</v>
      </c>
      <c r="W21" s="11" t="n">
        <f aca="false">IF(W4&gt;=Assumptions!$B$29,MAX(1,ROUNDUP(W8/Assumptions!$B$40,0)),0)*Assumptions!$B$41/12</f>
        <v>21333.3333333333</v>
      </c>
      <c r="X21" s="11" t="n">
        <f aca="false">IF(X4&gt;=Assumptions!$B$29,MAX(1,ROUNDUP(X8/Assumptions!$B$40,0)),0)*Assumptions!$B$41/12</f>
        <v>21333.3333333333</v>
      </c>
      <c r="Y21" s="11" t="n">
        <f aca="false">IF(Y4&gt;=Assumptions!$B$29,MAX(1,ROUNDUP(Y8/Assumptions!$B$40,0)),0)*Assumptions!$B$41/12</f>
        <v>21333.3333333333</v>
      </c>
      <c r="Z21" s="11" t="n">
        <f aca="false">IF(Z4&gt;=Assumptions!$B$29,MAX(1,ROUNDUP(Z8/Assumptions!$B$40,0)),0)*Assumptions!$B$41/12</f>
        <v>21333.3333333333</v>
      </c>
      <c r="AA21" s="11" t="n">
        <f aca="false">IF(AA4&gt;=Assumptions!$B$29,MAX(1,ROUNDUP(AA8/Assumptions!$B$40,0)),0)*Assumptions!$B$41/12</f>
        <v>21333.3333333333</v>
      </c>
      <c r="AB21" s="11" t="n">
        <f aca="false">IF(AB4&gt;=Assumptions!$B$29,MAX(1,ROUNDUP(AB8/Assumptions!$B$40,0)),0)*Assumptions!$B$41/12</f>
        <v>26666.6666666667</v>
      </c>
      <c r="AC21" s="11" t="n">
        <f aca="false">IF(AC4&gt;=Assumptions!$B$29,MAX(1,ROUNDUP(AC8/Assumptions!$B$40,0)),0)*Assumptions!$B$41/12</f>
        <v>26666.6666666667</v>
      </c>
      <c r="AD21" s="11" t="n">
        <f aca="false">IF(AD4&gt;=Assumptions!$B$29,MAX(1,ROUNDUP(AD8/Assumptions!$B$40,0)),0)*Assumptions!$B$41/12</f>
        <v>26666.6666666667</v>
      </c>
      <c r="AE21" s="11" t="n">
        <f aca="false">IF(AE4&gt;=Assumptions!$B$29,MAX(1,ROUNDUP(AE8/Assumptions!$B$40,0)),0)*Assumptions!$B$41/12</f>
        <v>26666.6666666667</v>
      </c>
      <c r="AF21" s="11" t="n">
        <f aca="false">IF(AF4&gt;=Assumptions!$B$29,MAX(1,ROUNDUP(AF8/Assumptions!$B$40,0)),0)*Assumptions!$B$41/12</f>
        <v>26666.6666666667</v>
      </c>
      <c r="AG21" s="11" t="n">
        <f aca="false">IF(AG4&gt;=Assumptions!$B$29,MAX(1,ROUNDUP(AG8/Assumptions!$B$40,0)),0)*Assumptions!$B$41/12</f>
        <v>26666.6666666667</v>
      </c>
      <c r="AH21" s="11" t="n">
        <f aca="false">IF(AH4&gt;=Assumptions!$B$29,MAX(1,ROUNDUP(AH8/Assumptions!$B$40,0)),0)*Assumptions!$B$41/12</f>
        <v>26666.6666666667</v>
      </c>
      <c r="AI21" s="11" t="n">
        <f aca="false">IF(AI4&gt;=Assumptions!$B$29,MAX(1,ROUNDUP(AI8/Assumptions!$B$40,0)),0)*Assumptions!$B$41/12</f>
        <v>26666.6666666667</v>
      </c>
      <c r="AJ21" s="11" t="n">
        <f aca="false">IF(AJ4&gt;=Assumptions!$B$29,MAX(1,ROUNDUP(AJ8/Assumptions!$B$40,0)),0)*Assumptions!$B$41/12</f>
        <v>32000</v>
      </c>
      <c r="AK21" s="11" t="n">
        <f aca="false">IF(AK4&gt;=Assumptions!$B$29,MAX(1,ROUNDUP(AK8/Assumptions!$B$40,0)),0)*Assumptions!$B$41/12</f>
        <v>32000</v>
      </c>
      <c r="AL21" s="2"/>
    </row>
    <row r="22" customFormat="false" ht="15" hidden="false" customHeight="false" outlineLevel="0" collapsed="false">
      <c r="A22" s="21" t="s">
        <v>132</v>
      </c>
      <c r="B22" s="11" t="n">
        <f aca="false">IF(AND(B4&gt;=3,B4&lt;=12),Assumptions!$B$30/10,0)</f>
        <v>0</v>
      </c>
      <c r="C22" s="11" t="n">
        <f aca="false">IF(AND(C4&gt;=3,C4&lt;=12),Assumptions!$B$30/10,0)</f>
        <v>0</v>
      </c>
      <c r="D22" s="11" t="n">
        <f aca="false">IF(AND(D4&gt;=3,D4&lt;=12),Assumptions!$B$30/10,0)</f>
        <v>5000</v>
      </c>
      <c r="E22" s="11" t="n">
        <f aca="false">IF(AND(E4&gt;=3,E4&lt;=12),Assumptions!$B$30/10,0)</f>
        <v>5000</v>
      </c>
      <c r="F22" s="11" t="n">
        <f aca="false">IF(AND(F4&gt;=3,F4&lt;=12),Assumptions!$B$30/10,0)</f>
        <v>5000</v>
      </c>
      <c r="G22" s="11" t="n">
        <f aca="false">IF(AND(G4&gt;=3,G4&lt;=12),Assumptions!$B$30/10,0)</f>
        <v>5000</v>
      </c>
      <c r="H22" s="11" t="n">
        <f aca="false">IF(AND(H4&gt;=3,H4&lt;=12),Assumptions!$B$30/10,0)</f>
        <v>5000</v>
      </c>
      <c r="I22" s="11" t="n">
        <f aca="false">IF(AND(I4&gt;=3,I4&lt;=12),Assumptions!$B$30/10,0)</f>
        <v>5000</v>
      </c>
      <c r="J22" s="11" t="n">
        <f aca="false">IF(AND(J4&gt;=3,J4&lt;=12),Assumptions!$B$30/10,0)</f>
        <v>5000</v>
      </c>
      <c r="K22" s="11" t="n">
        <f aca="false">IF(AND(K4&gt;=3,K4&lt;=12),Assumptions!$B$30/10,0)</f>
        <v>5000</v>
      </c>
      <c r="L22" s="11" t="n">
        <f aca="false">IF(AND(L4&gt;=3,L4&lt;=12),Assumptions!$B$30/10,0)</f>
        <v>5000</v>
      </c>
      <c r="M22" s="11" t="n">
        <f aca="false">IF(AND(M4&gt;=3,M4&lt;=12),Assumptions!$B$30/10,0)</f>
        <v>5000</v>
      </c>
      <c r="N22" s="11" t="n">
        <f aca="false">IF(AND(N4&gt;=3,N4&lt;=12),Assumptions!$B$30/10,0)</f>
        <v>0</v>
      </c>
      <c r="O22" s="11" t="n">
        <f aca="false">IF(AND(O4&gt;=3,O4&lt;=12),Assumptions!$B$30/10,0)</f>
        <v>0</v>
      </c>
      <c r="P22" s="11" t="n">
        <f aca="false">IF(AND(P4&gt;=3,P4&lt;=12),Assumptions!$B$30/10,0)</f>
        <v>0</v>
      </c>
      <c r="Q22" s="11" t="n">
        <f aca="false">IF(AND(Q4&gt;=3,Q4&lt;=12),Assumptions!$B$30/10,0)</f>
        <v>0</v>
      </c>
      <c r="R22" s="11" t="n">
        <f aca="false">IF(AND(R4&gt;=3,R4&lt;=12),Assumptions!$B$30/10,0)</f>
        <v>0</v>
      </c>
      <c r="S22" s="11" t="n">
        <f aca="false">IF(AND(S4&gt;=3,S4&lt;=12),Assumptions!$B$30/10,0)</f>
        <v>0</v>
      </c>
      <c r="T22" s="11" t="n">
        <f aca="false">IF(AND(T4&gt;=3,T4&lt;=12),Assumptions!$B$30/10,0)</f>
        <v>0</v>
      </c>
      <c r="U22" s="11" t="n">
        <f aca="false">IF(AND(U4&gt;=3,U4&lt;=12),Assumptions!$B$30/10,0)</f>
        <v>0</v>
      </c>
      <c r="V22" s="11" t="n">
        <f aca="false">IF(AND(V4&gt;=3,V4&lt;=12),Assumptions!$B$30/10,0)</f>
        <v>0</v>
      </c>
      <c r="W22" s="11" t="n">
        <f aca="false">IF(AND(W4&gt;=3,W4&lt;=12),Assumptions!$B$30/10,0)</f>
        <v>0</v>
      </c>
      <c r="X22" s="11" t="n">
        <f aca="false">IF(AND(X4&gt;=3,X4&lt;=12),Assumptions!$B$30/10,0)</f>
        <v>0</v>
      </c>
      <c r="Y22" s="11" t="n">
        <f aca="false">IF(AND(Y4&gt;=3,Y4&lt;=12),Assumptions!$B$30/10,0)</f>
        <v>0</v>
      </c>
      <c r="Z22" s="11" t="n">
        <f aca="false">IF(AND(Z4&gt;=3,Z4&lt;=12),Assumptions!$B$30/10,0)</f>
        <v>0</v>
      </c>
      <c r="AA22" s="11" t="n">
        <f aca="false">IF(AND(AA4&gt;=3,AA4&lt;=12),Assumptions!$B$30/10,0)</f>
        <v>0</v>
      </c>
      <c r="AB22" s="11" t="n">
        <f aca="false">IF(AND(AB4&gt;=3,AB4&lt;=12),Assumptions!$B$30/10,0)</f>
        <v>0</v>
      </c>
      <c r="AC22" s="11" t="n">
        <f aca="false">IF(AND(AC4&gt;=3,AC4&lt;=12),Assumptions!$B$30/10,0)</f>
        <v>0</v>
      </c>
      <c r="AD22" s="11" t="n">
        <f aca="false">IF(AND(AD4&gt;=3,AD4&lt;=12),Assumptions!$B$30/10,0)</f>
        <v>0</v>
      </c>
      <c r="AE22" s="11" t="n">
        <f aca="false">IF(AND(AE4&gt;=3,AE4&lt;=12),Assumptions!$B$30/10,0)</f>
        <v>0</v>
      </c>
      <c r="AF22" s="11" t="n">
        <f aca="false">IF(AND(AF4&gt;=3,AF4&lt;=12),Assumptions!$B$30/10,0)</f>
        <v>0</v>
      </c>
      <c r="AG22" s="11" t="n">
        <f aca="false">IF(AND(AG4&gt;=3,AG4&lt;=12),Assumptions!$B$30/10,0)</f>
        <v>0</v>
      </c>
      <c r="AH22" s="11" t="n">
        <f aca="false">IF(AND(AH4&gt;=3,AH4&lt;=12),Assumptions!$B$30/10,0)</f>
        <v>0</v>
      </c>
      <c r="AI22" s="11" t="n">
        <f aca="false">IF(AND(AI4&gt;=3,AI4&lt;=12),Assumptions!$B$30/10,0)</f>
        <v>0</v>
      </c>
      <c r="AJ22" s="11" t="n">
        <f aca="false">IF(AND(AJ4&gt;=3,AJ4&lt;=12),Assumptions!$B$30/10,0)</f>
        <v>0</v>
      </c>
      <c r="AK22" s="11" t="n">
        <f aca="false">IF(AND(AK4&gt;=3,AK4&lt;=12),Assumptions!$B$30/10,0)</f>
        <v>0</v>
      </c>
      <c r="AL22" s="2"/>
    </row>
    <row r="23" customFormat="false" ht="15" hidden="false" customHeight="false" outlineLevel="0" collapsed="false">
      <c r="A23" s="21" t="s">
        <v>133</v>
      </c>
      <c r="B23" s="11" t="n">
        <f aca="false">IF(B4&lt;=12,IF(B4&gt;=Assumptions!$B$33,Assumptions!$B$32/12,0),B8*Assumptions!$B$48)</f>
        <v>0</v>
      </c>
      <c r="C23" s="11" t="n">
        <f aca="false">IF(C4&lt;=12,IF(C4&gt;=Assumptions!$B$33,Assumptions!$B$32/12,0),C8*Assumptions!$B$48)</f>
        <v>0</v>
      </c>
      <c r="D23" s="11" t="n">
        <f aca="false">IF(D4&lt;=12,IF(D4&gt;=Assumptions!$B$33,Assumptions!$B$32/12,0),D8*Assumptions!$B$48)</f>
        <v>30000</v>
      </c>
      <c r="E23" s="11" t="n">
        <f aca="false">IF(E4&lt;=12,IF(E4&gt;=Assumptions!$B$33,Assumptions!$B$32/12,0),E8*Assumptions!$B$48)</f>
        <v>30000</v>
      </c>
      <c r="F23" s="11" t="n">
        <f aca="false">IF(F4&lt;=12,IF(F4&gt;=Assumptions!$B$33,Assumptions!$B$32/12,0),F8*Assumptions!$B$48)</f>
        <v>30000</v>
      </c>
      <c r="G23" s="11" t="n">
        <f aca="false">IF(G4&lt;=12,IF(G4&gt;=Assumptions!$B$33,Assumptions!$B$32/12,0),G8*Assumptions!$B$48)</f>
        <v>30000</v>
      </c>
      <c r="H23" s="11" t="n">
        <f aca="false">IF(H4&lt;=12,IF(H4&gt;=Assumptions!$B$33,Assumptions!$B$32/12,0),H8*Assumptions!$B$48)</f>
        <v>30000</v>
      </c>
      <c r="I23" s="11" t="n">
        <f aca="false">IF(I4&lt;=12,IF(I4&gt;=Assumptions!$B$33,Assumptions!$B$32/12,0),I8*Assumptions!$B$48)</f>
        <v>30000</v>
      </c>
      <c r="J23" s="11" t="n">
        <f aca="false">IF(J4&lt;=12,IF(J4&gt;=Assumptions!$B$33,Assumptions!$B$32/12,0),J8*Assumptions!$B$48)</f>
        <v>30000</v>
      </c>
      <c r="K23" s="11" t="n">
        <f aca="false">IF(K4&lt;=12,IF(K4&gt;=Assumptions!$B$33,Assumptions!$B$32/12,0),K8*Assumptions!$B$48)</f>
        <v>30000</v>
      </c>
      <c r="L23" s="11" t="n">
        <f aca="false">IF(L4&lt;=12,IF(L4&gt;=Assumptions!$B$33,Assumptions!$B$32/12,0),L8*Assumptions!$B$48)</f>
        <v>30000</v>
      </c>
      <c r="M23" s="11" t="n">
        <f aca="false">IF(M4&lt;=12,IF(M4&gt;=Assumptions!$B$33,Assumptions!$B$32/12,0),M8*Assumptions!$B$48)</f>
        <v>30000</v>
      </c>
      <c r="N23" s="11" t="n">
        <f aca="false">IF(N4&lt;=12,IF(N4&gt;=Assumptions!$B$33,Assumptions!$B$32/12,0),N8*Assumptions!$B$48)</f>
        <v>25500</v>
      </c>
      <c r="O23" s="11" t="n">
        <f aca="false">IF(O4&lt;=12,IF(O4&gt;=Assumptions!$B$33,Assumptions!$B$32/12,0),O8*Assumptions!$B$48)</f>
        <v>28500</v>
      </c>
      <c r="P23" s="11" t="n">
        <f aca="false">IF(P4&lt;=12,IF(P4&gt;=Assumptions!$B$33,Assumptions!$B$32/12,0),P8*Assumptions!$B$48)</f>
        <v>30000</v>
      </c>
      <c r="Q23" s="11" t="n">
        <f aca="false">IF(Q4&lt;=12,IF(Q4&gt;=Assumptions!$B$33,Assumptions!$B$32/12,0),Q8*Assumptions!$B$48)</f>
        <v>33000</v>
      </c>
      <c r="R23" s="11" t="n">
        <f aca="false">IF(R4&lt;=12,IF(R4&gt;=Assumptions!$B$33,Assumptions!$B$32/12,0),R8*Assumptions!$B$48)</f>
        <v>34500</v>
      </c>
      <c r="S23" s="11" t="n">
        <f aca="false">IF(S4&lt;=12,IF(S4&gt;=Assumptions!$B$33,Assumptions!$B$32/12,0),S8*Assumptions!$B$48)</f>
        <v>36000</v>
      </c>
      <c r="T23" s="11" t="n">
        <f aca="false">IF(T4&lt;=12,IF(T4&gt;=Assumptions!$B$33,Assumptions!$B$32/12,0),T8*Assumptions!$B$48)</f>
        <v>37500</v>
      </c>
      <c r="U23" s="11" t="n">
        <f aca="false">IF(U4&lt;=12,IF(U4&gt;=Assumptions!$B$33,Assumptions!$B$32/12,0),U8*Assumptions!$B$48)</f>
        <v>39000</v>
      </c>
      <c r="V23" s="11" t="n">
        <f aca="false">IF(V4&lt;=12,IF(V4&gt;=Assumptions!$B$33,Assumptions!$B$32/12,0),V8*Assumptions!$B$48)</f>
        <v>40500</v>
      </c>
      <c r="W23" s="11" t="n">
        <f aca="false">IF(W4&lt;=12,IF(W4&gt;=Assumptions!$B$33,Assumptions!$B$32/12,0),W8*Assumptions!$B$48)</f>
        <v>42000</v>
      </c>
      <c r="X23" s="11" t="n">
        <f aca="false">IF(X4&lt;=12,IF(X4&gt;=Assumptions!$B$33,Assumptions!$B$32/12,0),X8*Assumptions!$B$48)</f>
        <v>43500</v>
      </c>
      <c r="Y23" s="11" t="n">
        <f aca="false">IF(Y4&lt;=12,IF(Y4&gt;=Assumptions!$B$33,Assumptions!$B$32/12,0),Y8*Assumptions!$B$48)</f>
        <v>45000</v>
      </c>
      <c r="Z23" s="11" t="n">
        <f aca="false">IF(Z4&lt;=12,IF(Z4&gt;=Assumptions!$B$33,Assumptions!$B$32/12,0),Z8*Assumptions!$B$48)</f>
        <v>46500</v>
      </c>
      <c r="AA23" s="11" t="n">
        <f aca="false">IF(AA4&lt;=12,IF(AA4&gt;=Assumptions!$B$33,Assumptions!$B$32/12,0),AA8*Assumptions!$B$48)</f>
        <v>48000</v>
      </c>
      <c r="AB23" s="11" t="n">
        <f aca="false">IF(AB4&lt;=12,IF(AB4&gt;=Assumptions!$B$33,Assumptions!$B$32/12,0),AB8*Assumptions!$B$48)</f>
        <v>49500</v>
      </c>
      <c r="AC23" s="11" t="n">
        <f aca="false">IF(AC4&lt;=12,IF(AC4&gt;=Assumptions!$B$33,Assumptions!$B$32/12,0),AC8*Assumptions!$B$48)</f>
        <v>51000</v>
      </c>
      <c r="AD23" s="11" t="n">
        <f aca="false">IF(AD4&lt;=12,IF(AD4&gt;=Assumptions!$B$33,Assumptions!$B$32/12,0),AD8*Assumptions!$B$48)</f>
        <v>52500</v>
      </c>
      <c r="AE23" s="11" t="n">
        <f aca="false">IF(AE4&lt;=12,IF(AE4&gt;=Assumptions!$B$33,Assumptions!$B$32/12,0),AE8*Assumptions!$B$48)</f>
        <v>54000</v>
      </c>
      <c r="AF23" s="11" t="n">
        <f aca="false">IF(AF4&lt;=12,IF(AF4&gt;=Assumptions!$B$33,Assumptions!$B$32/12,0),AF8*Assumptions!$B$48)</f>
        <v>55500</v>
      </c>
      <c r="AG23" s="11" t="n">
        <f aca="false">IF(AG4&lt;=12,IF(AG4&gt;=Assumptions!$B$33,Assumptions!$B$32/12,0),AG8*Assumptions!$B$48)</f>
        <v>57000</v>
      </c>
      <c r="AH23" s="11" t="n">
        <f aca="false">IF(AH4&lt;=12,IF(AH4&gt;=Assumptions!$B$33,Assumptions!$B$32/12,0),AH8*Assumptions!$B$48)</f>
        <v>58500</v>
      </c>
      <c r="AI23" s="11" t="n">
        <f aca="false">IF(AI4&lt;=12,IF(AI4&gt;=Assumptions!$B$33,Assumptions!$B$32/12,0),AI8*Assumptions!$B$48)</f>
        <v>60000</v>
      </c>
      <c r="AJ23" s="11" t="n">
        <f aca="false">IF(AJ4&lt;=12,IF(AJ4&gt;=Assumptions!$B$33,Assumptions!$B$32/12,0),AJ8*Assumptions!$B$48)</f>
        <v>61500</v>
      </c>
      <c r="AK23" s="11" t="n">
        <f aca="false">IF(AK4&lt;=12,IF(AK4&gt;=Assumptions!$B$33,Assumptions!$B$32/12,0),AK8*Assumptions!$B$48)</f>
        <v>63000</v>
      </c>
      <c r="AL23" s="2"/>
    </row>
    <row r="24" customFormat="false" ht="15" hidden="false" customHeight="false" outlineLevel="0" collapsed="false">
      <c r="A24" s="21" t="s">
        <v>134</v>
      </c>
      <c r="B24" s="11" t="n">
        <f aca="false">IF(B4&gt;=Assumptions!$B$35,Assumptions!$B$34/12,0)+IF(B4&gt;=Assumptions!$B$35,MAX(0,ROUNDUP(MAX(0,B8-Assumptions!$B$43)/Assumptions!$B$42,0)-1),0)*Assumptions!$B$44/12+IF(B4&gt;=13,ROUNDUP(B7/Assumptions!$B$45,0)*Assumptions!$B$46/12,0)</f>
        <v>0</v>
      </c>
      <c r="C24" s="11" t="n">
        <f aca="false">IF(C4&gt;=Assumptions!$B$35,Assumptions!$B$34/12,0)+IF(C4&gt;=Assumptions!$B$35,MAX(0,ROUNDUP(MAX(0,C8-Assumptions!$B$43)/Assumptions!$B$42,0)-1),0)*Assumptions!$B$44/12+IF(C4&gt;=13,ROUNDUP(C7/Assumptions!$B$45,0)*Assumptions!$B$46/12,0)</f>
        <v>0</v>
      </c>
      <c r="D24" s="11" t="n">
        <f aca="false">IF(D4&gt;=Assumptions!$B$35,Assumptions!$B$34/12,0)+IF(D4&gt;=Assumptions!$B$35,MAX(0,ROUNDUP(MAX(0,D8-Assumptions!$B$43)/Assumptions!$B$42,0)-1),0)*Assumptions!$B$44/12+IF(D4&gt;=13,ROUNDUP(D7/Assumptions!$B$45,0)*Assumptions!$B$46/12,0)</f>
        <v>0</v>
      </c>
      <c r="E24" s="11" t="n">
        <f aca="false">IF(E4&gt;=Assumptions!$B$35,Assumptions!$B$34/12,0)+IF(E4&gt;=Assumptions!$B$35,MAX(0,ROUNDUP(MAX(0,E8-Assumptions!$B$43)/Assumptions!$B$42,0)-1),0)*Assumptions!$B$44/12+IF(E4&gt;=13,ROUNDUP(E7/Assumptions!$B$45,0)*Assumptions!$B$46/12,0)</f>
        <v>3333.33333333333</v>
      </c>
      <c r="F24" s="11" t="n">
        <f aca="false">IF(F4&gt;=Assumptions!$B$35,Assumptions!$B$34/12,0)+IF(F4&gt;=Assumptions!$B$35,MAX(0,ROUNDUP(MAX(0,F8-Assumptions!$B$43)/Assumptions!$B$42,0)-1),0)*Assumptions!$B$44/12+IF(F4&gt;=13,ROUNDUP(F7/Assumptions!$B$45,0)*Assumptions!$B$46/12,0)</f>
        <v>3333.33333333333</v>
      </c>
      <c r="G24" s="11" t="n">
        <f aca="false">IF(G4&gt;=Assumptions!$B$35,Assumptions!$B$34/12,0)+IF(G4&gt;=Assumptions!$B$35,MAX(0,ROUNDUP(MAX(0,G8-Assumptions!$B$43)/Assumptions!$B$42,0)-1),0)*Assumptions!$B$44/12+IF(G4&gt;=13,ROUNDUP(G7/Assumptions!$B$45,0)*Assumptions!$B$46/12,0)</f>
        <v>3333.33333333333</v>
      </c>
      <c r="H24" s="11" t="n">
        <f aca="false">IF(H4&gt;=Assumptions!$B$35,Assumptions!$B$34/12,0)+IF(H4&gt;=Assumptions!$B$35,MAX(0,ROUNDUP(MAX(0,H8-Assumptions!$B$43)/Assumptions!$B$42,0)-1),0)*Assumptions!$B$44/12+IF(H4&gt;=13,ROUNDUP(H7/Assumptions!$B$45,0)*Assumptions!$B$46/12,0)</f>
        <v>3333.33333333333</v>
      </c>
      <c r="I24" s="11" t="n">
        <f aca="false">IF(I4&gt;=Assumptions!$B$35,Assumptions!$B$34/12,0)+IF(I4&gt;=Assumptions!$B$35,MAX(0,ROUNDUP(MAX(0,I8-Assumptions!$B$43)/Assumptions!$B$42,0)-1),0)*Assumptions!$B$44/12+IF(I4&gt;=13,ROUNDUP(I7/Assumptions!$B$45,0)*Assumptions!$B$46/12,0)</f>
        <v>3333.33333333333</v>
      </c>
      <c r="J24" s="11" t="n">
        <f aca="false">IF(J4&gt;=Assumptions!$B$35,Assumptions!$B$34/12,0)+IF(J4&gt;=Assumptions!$B$35,MAX(0,ROUNDUP(MAX(0,J8-Assumptions!$B$43)/Assumptions!$B$42,0)-1),0)*Assumptions!$B$44/12+IF(J4&gt;=13,ROUNDUP(J7/Assumptions!$B$45,0)*Assumptions!$B$46/12,0)</f>
        <v>6666.66666666667</v>
      </c>
      <c r="K24" s="11" t="n">
        <f aca="false">IF(K4&gt;=Assumptions!$B$35,Assumptions!$B$34/12,0)+IF(K4&gt;=Assumptions!$B$35,MAX(0,ROUNDUP(MAX(0,K8-Assumptions!$B$43)/Assumptions!$B$42,0)-1),0)*Assumptions!$B$44/12+IF(K4&gt;=13,ROUNDUP(K7/Assumptions!$B$45,0)*Assumptions!$B$46/12,0)</f>
        <v>6666.66666666667</v>
      </c>
      <c r="L24" s="11" t="n">
        <f aca="false">IF(L4&gt;=Assumptions!$B$35,Assumptions!$B$34/12,0)+IF(L4&gt;=Assumptions!$B$35,MAX(0,ROUNDUP(MAX(0,L8-Assumptions!$B$43)/Assumptions!$B$42,0)-1),0)*Assumptions!$B$44/12+IF(L4&gt;=13,ROUNDUP(L7/Assumptions!$B$45,0)*Assumptions!$B$46/12,0)</f>
        <v>6666.66666666667</v>
      </c>
      <c r="M24" s="11" t="n">
        <f aca="false">IF(M4&gt;=Assumptions!$B$35,Assumptions!$B$34/12,0)+IF(M4&gt;=Assumptions!$B$35,MAX(0,ROUNDUP(MAX(0,M8-Assumptions!$B$43)/Assumptions!$B$42,0)-1),0)*Assumptions!$B$44/12+IF(M4&gt;=13,ROUNDUP(M7/Assumptions!$B$45,0)*Assumptions!$B$46/12,0)</f>
        <v>10000</v>
      </c>
      <c r="N24" s="11" t="n">
        <f aca="false">IF(N4&gt;=Assumptions!$B$35,Assumptions!$B$34/12,0)+IF(N4&gt;=Assumptions!$B$35,MAX(0,ROUNDUP(MAX(0,N8-Assumptions!$B$43)/Assumptions!$B$42,0)-1),0)*Assumptions!$B$44/12+IF(N4&gt;=13,ROUNDUP(N7/Assumptions!$B$45,0)*Assumptions!$B$46/12,0)</f>
        <v>13333.3333333333</v>
      </c>
      <c r="O24" s="11" t="n">
        <f aca="false">IF(O4&gt;=Assumptions!$B$35,Assumptions!$B$34/12,0)+IF(O4&gt;=Assumptions!$B$35,MAX(0,ROUNDUP(MAX(0,O8-Assumptions!$B$43)/Assumptions!$B$42,0)-1),0)*Assumptions!$B$44/12+IF(O4&gt;=13,ROUNDUP(O7/Assumptions!$B$45,0)*Assumptions!$B$46/12,0)</f>
        <v>16666.6666666667</v>
      </c>
      <c r="P24" s="11" t="n">
        <f aca="false">IF(P4&gt;=Assumptions!$B$35,Assumptions!$B$34/12,0)+IF(P4&gt;=Assumptions!$B$35,MAX(0,ROUNDUP(MAX(0,P8-Assumptions!$B$43)/Assumptions!$B$42,0)-1),0)*Assumptions!$B$44/12+IF(P4&gt;=13,ROUNDUP(P7/Assumptions!$B$45,0)*Assumptions!$B$46/12,0)</f>
        <v>16666.6666666667</v>
      </c>
      <c r="Q24" s="11" t="n">
        <f aca="false">IF(Q4&gt;=Assumptions!$B$35,Assumptions!$B$34/12,0)+IF(Q4&gt;=Assumptions!$B$35,MAX(0,ROUNDUP(MAX(0,Q8-Assumptions!$B$43)/Assumptions!$B$42,0)-1),0)*Assumptions!$B$44/12+IF(Q4&gt;=13,ROUNDUP(Q7/Assumptions!$B$45,0)*Assumptions!$B$46/12,0)</f>
        <v>20000</v>
      </c>
      <c r="R24" s="11" t="n">
        <f aca="false">IF(R4&gt;=Assumptions!$B$35,Assumptions!$B$34/12,0)+IF(R4&gt;=Assumptions!$B$35,MAX(0,ROUNDUP(MAX(0,R8-Assumptions!$B$43)/Assumptions!$B$42,0)-1),0)*Assumptions!$B$44/12+IF(R4&gt;=13,ROUNDUP(R7/Assumptions!$B$45,0)*Assumptions!$B$46/12,0)</f>
        <v>20000</v>
      </c>
      <c r="S24" s="11" t="n">
        <f aca="false">IF(S4&gt;=Assumptions!$B$35,Assumptions!$B$34/12,0)+IF(S4&gt;=Assumptions!$B$35,MAX(0,ROUNDUP(MAX(0,S8-Assumptions!$B$43)/Assumptions!$B$42,0)-1),0)*Assumptions!$B$44/12+IF(S4&gt;=13,ROUNDUP(S7/Assumptions!$B$45,0)*Assumptions!$B$46/12,0)</f>
        <v>20000</v>
      </c>
      <c r="T24" s="11" t="n">
        <f aca="false">IF(T4&gt;=Assumptions!$B$35,Assumptions!$B$34/12,0)+IF(T4&gt;=Assumptions!$B$35,MAX(0,ROUNDUP(MAX(0,T8-Assumptions!$B$43)/Assumptions!$B$42,0)-1),0)*Assumptions!$B$44/12+IF(T4&gt;=13,ROUNDUP(T7/Assumptions!$B$45,0)*Assumptions!$B$46/12,0)</f>
        <v>23333.3333333333</v>
      </c>
      <c r="U24" s="11" t="n">
        <f aca="false">IF(U4&gt;=Assumptions!$B$35,Assumptions!$B$34/12,0)+IF(U4&gt;=Assumptions!$B$35,MAX(0,ROUNDUP(MAX(0,U8-Assumptions!$B$43)/Assumptions!$B$42,0)-1),0)*Assumptions!$B$44/12+IF(U4&gt;=13,ROUNDUP(U7/Assumptions!$B$45,0)*Assumptions!$B$46/12,0)</f>
        <v>23333.3333333333</v>
      </c>
      <c r="V24" s="11" t="n">
        <f aca="false">IF(V4&gt;=Assumptions!$B$35,Assumptions!$B$34/12,0)+IF(V4&gt;=Assumptions!$B$35,MAX(0,ROUNDUP(MAX(0,V8-Assumptions!$B$43)/Assumptions!$B$42,0)-1),0)*Assumptions!$B$44/12+IF(V4&gt;=13,ROUNDUP(V7/Assumptions!$B$45,0)*Assumptions!$B$46/12,0)</f>
        <v>23333.3333333333</v>
      </c>
      <c r="W24" s="11" t="n">
        <f aca="false">IF(W4&gt;=Assumptions!$B$35,Assumptions!$B$34/12,0)+IF(W4&gt;=Assumptions!$B$35,MAX(0,ROUNDUP(MAX(0,W8-Assumptions!$B$43)/Assumptions!$B$42,0)-1),0)*Assumptions!$B$44/12+IF(W4&gt;=13,ROUNDUP(W7/Assumptions!$B$45,0)*Assumptions!$B$46/12,0)</f>
        <v>26666.6666666667</v>
      </c>
      <c r="X24" s="11" t="n">
        <f aca="false">IF(X4&gt;=Assumptions!$B$35,Assumptions!$B$34/12,0)+IF(X4&gt;=Assumptions!$B$35,MAX(0,ROUNDUP(MAX(0,X8-Assumptions!$B$43)/Assumptions!$B$42,0)-1),0)*Assumptions!$B$44/12+IF(X4&gt;=13,ROUNDUP(X7/Assumptions!$B$45,0)*Assumptions!$B$46/12,0)</f>
        <v>26666.6666666667</v>
      </c>
      <c r="Y24" s="11" t="n">
        <f aca="false">IF(Y4&gt;=Assumptions!$B$35,Assumptions!$B$34/12,0)+IF(Y4&gt;=Assumptions!$B$35,MAX(0,ROUNDUP(MAX(0,Y8-Assumptions!$B$43)/Assumptions!$B$42,0)-1),0)*Assumptions!$B$44/12+IF(Y4&gt;=13,ROUNDUP(Y7/Assumptions!$B$45,0)*Assumptions!$B$46/12,0)</f>
        <v>30000</v>
      </c>
      <c r="Z24" s="11" t="n">
        <f aca="false">IF(Z4&gt;=Assumptions!$B$35,Assumptions!$B$34/12,0)+IF(Z4&gt;=Assumptions!$B$35,MAX(0,ROUNDUP(MAX(0,Z8-Assumptions!$B$43)/Assumptions!$B$42,0)-1),0)*Assumptions!$B$44/12+IF(Z4&gt;=13,ROUNDUP(Z7/Assumptions!$B$45,0)*Assumptions!$B$46/12,0)</f>
        <v>30000</v>
      </c>
      <c r="AA24" s="11" t="n">
        <f aca="false">IF(AA4&gt;=Assumptions!$B$35,Assumptions!$B$34/12,0)+IF(AA4&gt;=Assumptions!$B$35,MAX(0,ROUNDUP(MAX(0,AA8-Assumptions!$B$43)/Assumptions!$B$42,0)-1),0)*Assumptions!$B$44/12+IF(AA4&gt;=13,ROUNDUP(AA7/Assumptions!$B$45,0)*Assumptions!$B$46/12,0)</f>
        <v>30000</v>
      </c>
      <c r="AB24" s="11" t="n">
        <f aca="false">IF(AB4&gt;=Assumptions!$B$35,Assumptions!$B$34/12,0)+IF(AB4&gt;=Assumptions!$B$35,MAX(0,ROUNDUP(MAX(0,AB8-Assumptions!$B$43)/Assumptions!$B$42,0)-1),0)*Assumptions!$B$44/12+IF(AB4&gt;=13,ROUNDUP(AB7/Assumptions!$B$45,0)*Assumptions!$B$46/12,0)</f>
        <v>33333.3333333333</v>
      </c>
      <c r="AC24" s="11" t="n">
        <f aca="false">IF(AC4&gt;=Assumptions!$B$35,Assumptions!$B$34/12,0)+IF(AC4&gt;=Assumptions!$B$35,MAX(0,ROUNDUP(MAX(0,AC8-Assumptions!$B$43)/Assumptions!$B$42,0)-1),0)*Assumptions!$B$44/12+IF(AC4&gt;=13,ROUNDUP(AC7/Assumptions!$B$45,0)*Assumptions!$B$46/12,0)</f>
        <v>36666.6666666667</v>
      </c>
      <c r="AD24" s="11" t="n">
        <f aca="false">IF(AD4&gt;=Assumptions!$B$35,Assumptions!$B$34/12,0)+IF(AD4&gt;=Assumptions!$B$35,MAX(0,ROUNDUP(MAX(0,AD8-Assumptions!$B$43)/Assumptions!$B$42,0)-1),0)*Assumptions!$B$44/12+IF(AD4&gt;=13,ROUNDUP(AD7/Assumptions!$B$45,0)*Assumptions!$B$46/12,0)</f>
        <v>36666.6666666667</v>
      </c>
      <c r="AE24" s="11" t="n">
        <f aca="false">IF(AE4&gt;=Assumptions!$B$35,Assumptions!$B$34/12,0)+IF(AE4&gt;=Assumptions!$B$35,MAX(0,ROUNDUP(MAX(0,AE8-Assumptions!$B$43)/Assumptions!$B$42,0)-1),0)*Assumptions!$B$44/12+IF(AE4&gt;=13,ROUNDUP(AE7/Assumptions!$B$45,0)*Assumptions!$B$46/12,0)</f>
        <v>36666.6666666667</v>
      </c>
      <c r="AF24" s="11" t="n">
        <f aca="false">IF(AF4&gt;=Assumptions!$B$35,Assumptions!$B$34/12,0)+IF(AF4&gt;=Assumptions!$B$35,MAX(0,ROUNDUP(MAX(0,AF8-Assumptions!$B$43)/Assumptions!$B$42,0)-1),0)*Assumptions!$B$44/12+IF(AF4&gt;=13,ROUNDUP(AF7/Assumptions!$B$45,0)*Assumptions!$B$46/12,0)</f>
        <v>40000</v>
      </c>
      <c r="AG24" s="11" t="n">
        <f aca="false">IF(AG4&gt;=Assumptions!$B$35,Assumptions!$B$34/12,0)+IF(AG4&gt;=Assumptions!$B$35,MAX(0,ROUNDUP(MAX(0,AG8-Assumptions!$B$43)/Assumptions!$B$42,0)-1),0)*Assumptions!$B$44/12+IF(AG4&gt;=13,ROUNDUP(AG7/Assumptions!$B$45,0)*Assumptions!$B$46/12,0)</f>
        <v>40000</v>
      </c>
      <c r="AH24" s="11" t="n">
        <f aca="false">IF(AH4&gt;=Assumptions!$B$35,Assumptions!$B$34/12,0)+IF(AH4&gt;=Assumptions!$B$35,MAX(0,ROUNDUP(MAX(0,AH8-Assumptions!$B$43)/Assumptions!$B$42,0)-1),0)*Assumptions!$B$44/12+IF(AH4&gt;=13,ROUNDUP(AH7/Assumptions!$B$45,0)*Assumptions!$B$46/12,0)</f>
        <v>40000</v>
      </c>
      <c r="AI24" s="11" t="n">
        <f aca="false">IF(AI4&gt;=Assumptions!$B$35,Assumptions!$B$34/12,0)+IF(AI4&gt;=Assumptions!$B$35,MAX(0,ROUNDUP(MAX(0,AI8-Assumptions!$B$43)/Assumptions!$B$42,0)-1),0)*Assumptions!$B$44/12+IF(AI4&gt;=13,ROUNDUP(AI7/Assumptions!$B$45,0)*Assumptions!$B$46/12,0)</f>
        <v>46666.6666666667</v>
      </c>
      <c r="AJ24" s="11" t="n">
        <f aca="false">IF(AJ4&gt;=Assumptions!$B$35,Assumptions!$B$34/12,0)+IF(AJ4&gt;=Assumptions!$B$35,MAX(0,ROUNDUP(MAX(0,AJ8-Assumptions!$B$43)/Assumptions!$B$42,0)-1),0)*Assumptions!$B$44/12+IF(AJ4&gt;=13,ROUNDUP(AJ7/Assumptions!$B$45,0)*Assumptions!$B$46/12,0)</f>
        <v>46666.6666666667</v>
      </c>
      <c r="AK24" s="11" t="n">
        <f aca="false">IF(AK4&gt;=Assumptions!$B$35,Assumptions!$B$34/12,0)+IF(AK4&gt;=Assumptions!$B$35,MAX(0,ROUNDUP(MAX(0,AK8-Assumptions!$B$43)/Assumptions!$B$42,0)-1),0)*Assumptions!$B$44/12+IF(AK4&gt;=13,ROUNDUP(AK7/Assumptions!$B$45,0)*Assumptions!$B$46/12,0)</f>
        <v>46666.6666666667</v>
      </c>
      <c r="AL24" s="2"/>
    </row>
    <row r="25" customFormat="false" ht="15" hidden="false" customHeight="false" outlineLevel="0" collapsed="false">
      <c r="A25" s="21" t="s">
        <v>135</v>
      </c>
      <c r="B25" s="11" t="n">
        <f aca="false">MAX(Assumptions!$B$21,B10*Assumptions!$B$20)</f>
        <v>500</v>
      </c>
      <c r="C25" s="11" t="n">
        <f aca="false">MAX(Assumptions!$B$21,C10*Assumptions!$B$20)</f>
        <v>500</v>
      </c>
      <c r="D25" s="11" t="n">
        <f aca="false">MAX(Assumptions!$B$21,D10*Assumptions!$B$20)</f>
        <v>500</v>
      </c>
      <c r="E25" s="11" t="n">
        <f aca="false">MAX(Assumptions!$B$21,E10*Assumptions!$B$20)</f>
        <v>500</v>
      </c>
      <c r="F25" s="11" t="n">
        <f aca="false">MAX(Assumptions!$B$21,F10*Assumptions!$B$20)</f>
        <v>500</v>
      </c>
      <c r="G25" s="11" t="n">
        <f aca="false">MAX(Assumptions!$B$21,G10*Assumptions!$B$20)</f>
        <v>670.93041195208</v>
      </c>
      <c r="H25" s="11" t="n">
        <f aca="false">MAX(Assumptions!$B$21,H10*Assumptions!$B$20)</f>
        <v>984.221107832559</v>
      </c>
      <c r="I25" s="11" t="n">
        <f aca="false">MAX(Assumptions!$B$21,I10*Assumptions!$B$20)</f>
        <v>1334.37889675423</v>
      </c>
      <c r="J25" s="11" t="n">
        <f aca="false">MAX(Assumptions!$B$21,J10*Assumptions!$B$20)</f>
        <v>1761.03510778669</v>
      </c>
      <c r="K25" s="11" t="n">
        <f aca="false">MAX(Assumptions!$B$21,K10*Assumptions!$B$20)</f>
        <v>2263.42475670882</v>
      </c>
      <c r="L25" s="11" t="n">
        <f aca="false">MAX(Assumptions!$B$21,L10*Assumptions!$B$20)</f>
        <v>2800.79050914174</v>
      </c>
      <c r="M25" s="11" t="n">
        <f aca="false">MAX(Assumptions!$B$21,M10*Assumptions!$B$20)</f>
        <v>3412.78260405032</v>
      </c>
      <c r="N25" s="11" t="n">
        <f aca="false">MAX(Assumptions!$B$21,N10*Assumptions!$B$20)</f>
        <v>4058.65477800982</v>
      </c>
      <c r="O25" s="11" t="n">
        <f aca="false">MAX(Assumptions!$B$21,O10*Assumptions!$B$20)</f>
        <v>4778.06823022972</v>
      </c>
      <c r="P25" s="11" t="n">
        <f aca="false">MAX(Assumptions!$B$21,P10*Assumptions!$B$20)</f>
        <v>5530.28754792742</v>
      </c>
      <c r="Q25" s="11" t="n">
        <f aca="false">MAX(Assumptions!$B$21,Q10*Assumptions!$B$20)</f>
        <v>6354.98467244815</v>
      </c>
      <c r="R25" s="11" t="n">
        <f aca="false">MAX(Assumptions!$B$21,R10*Assumptions!$B$20)</f>
        <v>7211.43482572366</v>
      </c>
      <c r="S25" s="11" t="n">
        <f aca="false">MAX(Assumptions!$B$21,S10*Assumptions!$B$20)</f>
        <v>8099.32047746643</v>
      </c>
      <c r="T25" s="11" t="n">
        <f aca="false">MAX(Assumptions!$B$21,T10*Assumptions!$B$20)</f>
        <v>9018.32727269176</v>
      </c>
      <c r="U25" s="11" t="n">
        <f aca="false">MAX(Assumptions!$B$21,U10*Assumptions!$B$20)</f>
        <v>9968.14399996485</v>
      </c>
      <c r="V25" s="11" t="n">
        <f aca="false">MAX(Assumptions!$B$21,V10*Assumptions!$B$20)</f>
        <v>10948.4625599652</v>
      </c>
      <c r="W25" s="11" t="n">
        <f aca="false">MAX(Assumptions!$B$21,W10*Assumptions!$B$20)</f>
        <v>11958.9779343655</v>
      </c>
      <c r="X25" s="11" t="n">
        <f aca="false">MAX(Assumptions!$B$21,X10*Assumptions!$B$20)</f>
        <v>12999.3881550219</v>
      </c>
      <c r="Y25" s="11" t="n">
        <f aca="false">MAX(Assumptions!$B$21,Y10*Assumptions!$B$20)</f>
        <v>14069.3942734717</v>
      </c>
      <c r="Z25" s="11" t="n">
        <f aca="false">MAX(Assumptions!$B$21,Z10*Assumptions!$B$20)</f>
        <v>15168.700330737</v>
      </c>
      <c r="AA25" s="11" t="n">
        <f aca="false">MAX(Assumptions!$B$21,AA10*Assumptions!$B$20)</f>
        <v>16297.0133274296</v>
      </c>
      <c r="AB25" s="11" t="n">
        <f aca="false">MAX(Assumptions!$B$21,AB10*Assumptions!$B$20)</f>
        <v>17454.0431941553</v>
      </c>
      <c r="AC25" s="11" t="n">
        <f aca="false">MAX(Assumptions!$B$21,AC10*Assumptions!$B$20)</f>
        <v>18639.5027622137</v>
      </c>
      <c r="AD25" s="11" t="n">
        <f aca="false">MAX(Assumptions!$B$21,AD10*Assumptions!$B$20)</f>
        <v>19853.1077345916</v>
      </c>
      <c r="AE25" s="11" t="n">
        <f aca="false">MAX(Assumptions!$B$21,AE10*Assumptions!$B$20)</f>
        <v>21094.5766572457</v>
      </c>
      <c r="AF25" s="11" t="n">
        <f aca="false">MAX(Assumptions!$B$21,AF10*Assumptions!$B$20)</f>
        <v>22363.6308906732</v>
      </c>
      <c r="AG25" s="11" t="n">
        <f aca="false">MAX(Assumptions!$B$21,AG10*Assumptions!$B$20)</f>
        <v>23659.9945817665</v>
      </c>
      <c r="AH25" s="11" t="n">
        <f aca="false">MAX(Assumptions!$B$21,AH10*Assumptions!$B$20)</f>
        <v>24983.3946359488</v>
      </c>
      <c r="AI25" s="11" t="n">
        <f aca="false">MAX(Assumptions!$B$21,AI10*Assumptions!$B$20)</f>
        <v>26333.5606895893</v>
      </c>
      <c r="AJ25" s="11" t="n">
        <f aca="false">MAX(Assumptions!$B$21,AJ10*Assumptions!$B$20)</f>
        <v>27710.2250826934</v>
      </c>
      <c r="AK25" s="11" t="n">
        <f aca="false">MAX(Assumptions!$B$21,AK10*Assumptions!$B$20)</f>
        <v>29113.1228318665</v>
      </c>
      <c r="AL25" s="2"/>
    </row>
    <row r="26" customFormat="false" ht="15" hidden="false" customHeight="false" outlineLevel="0" collapsed="false">
      <c r="A26" s="21" t="s">
        <v>136</v>
      </c>
      <c r="B26" s="11" t="n">
        <f aca="false">Assumptions!$B$37</f>
        <v>5500</v>
      </c>
      <c r="C26" s="11" t="n">
        <f aca="false">Assumptions!$B$37</f>
        <v>5500</v>
      </c>
      <c r="D26" s="11" t="n">
        <f aca="false">Assumptions!$B$37</f>
        <v>5500</v>
      </c>
      <c r="E26" s="11" t="n">
        <f aca="false">Assumptions!$B$37</f>
        <v>5500</v>
      </c>
      <c r="F26" s="11" t="n">
        <f aca="false">Assumptions!$B$37</f>
        <v>5500</v>
      </c>
      <c r="G26" s="11" t="n">
        <f aca="false">Assumptions!$B$37</f>
        <v>5500</v>
      </c>
      <c r="H26" s="11" t="n">
        <f aca="false">Assumptions!$B$37</f>
        <v>5500</v>
      </c>
      <c r="I26" s="11" t="n">
        <f aca="false">Assumptions!$B$37</f>
        <v>5500</v>
      </c>
      <c r="J26" s="11" t="n">
        <f aca="false">Assumptions!$B$37</f>
        <v>5500</v>
      </c>
      <c r="K26" s="11" t="n">
        <f aca="false">Assumptions!$B$37</f>
        <v>5500</v>
      </c>
      <c r="L26" s="11" t="n">
        <f aca="false">Assumptions!$B$37</f>
        <v>5500</v>
      </c>
      <c r="M26" s="11" t="n">
        <f aca="false">Assumptions!$B$37</f>
        <v>5500</v>
      </c>
      <c r="N26" s="11" t="n">
        <f aca="false">Assumptions!$B$37</f>
        <v>5500</v>
      </c>
      <c r="O26" s="11" t="n">
        <f aca="false">Assumptions!$B$37</f>
        <v>5500</v>
      </c>
      <c r="P26" s="11" t="n">
        <f aca="false">Assumptions!$B$37</f>
        <v>5500</v>
      </c>
      <c r="Q26" s="11" t="n">
        <f aca="false">Assumptions!$B$37</f>
        <v>5500</v>
      </c>
      <c r="R26" s="11" t="n">
        <f aca="false">Assumptions!$B$37</f>
        <v>5500</v>
      </c>
      <c r="S26" s="11" t="n">
        <f aca="false">Assumptions!$B$37</f>
        <v>5500</v>
      </c>
      <c r="T26" s="11" t="n">
        <f aca="false">Assumptions!$B$37</f>
        <v>5500</v>
      </c>
      <c r="U26" s="11" t="n">
        <f aca="false">Assumptions!$B$37</f>
        <v>5500</v>
      </c>
      <c r="V26" s="11" t="n">
        <f aca="false">Assumptions!$B$37</f>
        <v>5500</v>
      </c>
      <c r="W26" s="11" t="n">
        <f aca="false">Assumptions!$B$37</f>
        <v>5500</v>
      </c>
      <c r="X26" s="11" t="n">
        <f aca="false">Assumptions!$B$37</f>
        <v>5500</v>
      </c>
      <c r="Y26" s="11" t="n">
        <f aca="false">Assumptions!$B$37</f>
        <v>5500</v>
      </c>
      <c r="Z26" s="11" t="n">
        <f aca="false">Assumptions!$B$37</f>
        <v>5500</v>
      </c>
      <c r="AA26" s="11" t="n">
        <f aca="false">Assumptions!$B$37</f>
        <v>5500</v>
      </c>
      <c r="AB26" s="11" t="n">
        <f aca="false">Assumptions!$B$37</f>
        <v>5500</v>
      </c>
      <c r="AC26" s="11" t="n">
        <f aca="false">Assumptions!$B$37</f>
        <v>5500</v>
      </c>
      <c r="AD26" s="11" t="n">
        <f aca="false">Assumptions!$B$37</f>
        <v>5500</v>
      </c>
      <c r="AE26" s="11" t="n">
        <f aca="false">Assumptions!$B$37</f>
        <v>5500</v>
      </c>
      <c r="AF26" s="11" t="n">
        <f aca="false">Assumptions!$B$37</f>
        <v>5500</v>
      </c>
      <c r="AG26" s="11" t="n">
        <f aca="false">Assumptions!$B$37</f>
        <v>5500</v>
      </c>
      <c r="AH26" s="11" t="n">
        <f aca="false">Assumptions!$B$37</f>
        <v>5500</v>
      </c>
      <c r="AI26" s="11" t="n">
        <f aca="false">Assumptions!$B$37</f>
        <v>5500</v>
      </c>
      <c r="AJ26" s="11" t="n">
        <f aca="false">Assumptions!$B$37</f>
        <v>5500</v>
      </c>
      <c r="AK26" s="11" t="n">
        <f aca="false">Assumptions!$B$37</f>
        <v>5500</v>
      </c>
      <c r="AL26" s="2"/>
    </row>
    <row r="27" customFormat="false" ht="15" hidden="false" customHeight="false" outlineLevel="0" collapsed="false">
      <c r="A27" s="21" t="s">
        <v>137</v>
      </c>
      <c r="B27" s="11" t="n">
        <f aca="false">Assumptions!$B$38/12</f>
        <v>4000</v>
      </c>
      <c r="C27" s="11" t="n">
        <f aca="false">Assumptions!$B$38/12</f>
        <v>4000</v>
      </c>
      <c r="D27" s="11" t="n">
        <f aca="false">Assumptions!$B$38/12</f>
        <v>4000</v>
      </c>
      <c r="E27" s="11" t="n">
        <f aca="false">Assumptions!$B$38/12</f>
        <v>4000</v>
      </c>
      <c r="F27" s="11" t="n">
        <f aca="false">Assumptions!$B$38/12</f>
        <v>4000</v>
      </c>
      <c r="G27" s="11" t="n">
        <f aca="false">Assumptions!$B$38/12</f>
        <v>4000</v>
      </c>
      <c r="H27" s="11" t="n">
        <f aca="false">Assumptions!$B$38/12</f>
        <v>4000</v>
      </c>
      <c r="I27" s="11" t="n">
        <f aca="false">Assumptions!$B$38/12</f>
        <v>4000</v>
      </c>
      <c r="J27" s="11" t="n">
        <f aca="false">Assumptions!$B$38/12</f>
        <v>4000</v>
      </c>
      <c r="K27" s="11" t="n">
        <f aca="false">Assumptions!$B$38/12</f>
        <v>4000</v>
      </c>
      <c r="L27" s="11" t="n">
        <f aca="false">Assumptions!$B$38/12</f>
        <v>4000</v>
      </c>
      <c r="M27" s="11" t="n">
        <f aca="false">Assumptions!$B$38/12</f>
        <v>4000</v>
      </c>
      <c r="N27" s="11" t="n">
        <f aca="false">Assumptions!$B$38/12</f>
        <v>4000</v>
      </c>
      <c r="O27" s="11" t="n">
        <f aca="false">Assumptions!$B$38/12</f>
        <v>4000</v>
      </c>
      <c r="P27" s="11" t="n">
        <f aca="false">Assumptions!$B$38/12</f>
        <v>4000</v>
      </c>
      <c r="Q27" s="11" t="n">
        <f aca="false">Assumptions!$B$38/12</f>
        <v>4000</v>
      </c>
      <c r="R27" s="11" t="n">
        <f aca="false">Assumptions!$B$38/12</f>
        <v>4000</v>
      </c>
      <c r="S27" s="11" t="n">
        <f aca="false">Assumptions!$B$38/12</f>
        <v>4000</v>
      </c>
      <c r="T27" s="11" t="n">
        <f aca="false">Assumptions!$B$38/12</f>
        <v>4000</v>
      </c>
      <c r="U27" s="11" t="n">
        <f aca="false">Assumptions!$B$38/12</f>
        <v>4000</v>
      </c>
      <c r="V27" s="11" t="n">
        <f aca="false">Assumptions!$B$38/12</f>
        <v>4000</v>
      </c>
      <c r="W27" s="11" t="n">
        <f aca="false">Assumptions!$B$38/12</f>
        <v>4000</v>
      </c>
      <c r="X27" s="11" t="n">
        <f aca="false">Assumptions!$B$38/12</f>
        <v>4000</v>
      </c>
      <c r="Y27" s="11" t="n">
        <f aca="false">Assumptions!$B$38/12</f>
        <v>4000</v>
      </c>
      <c r="Z27" s="11" t="n">
        <f aca="false">Assumptions!$B$38/12</f>
        <v>4000</v>
      </c>
      <c r="AA27" s="11" t="n">
        <f aca="false">Assumptions!$B$38/12</f>
        <v>4000</v>
      </c>
      <c r="AB27" s="11" t="n">
        <f aca="false">Assumptions!$B$38/12</f>
        <v>4000</v>
      </c>
      <c r="AC27" s="11" t="n">
        <f aca="false">Assumptions!$B$38/12</f>
        <v>4000</v>
      </c>
      <c r="AD27" s="11" t="n">
        <f aca="false">Assumptions!$B$38/12</f>
        <v>4000</v>
      </c>
      <c r="AE27" s="11" t="n">
        <f aca="false">Assumptions!$B$38/12</f>
        <v>4000</v>
      </c>
      <c r="AF27" s="11" t="n">
        <f aca="false">Assumptions!$B$38/12</f>
        <v>4000</v>
      </c>
      <c r="AG27" s="11" t="n">
        <f aca="false">Assumptions!$B$38/12</f>
        <v>4000</v>
      </c>
      <c r="AH27" s="11" t="n">
        <f aca="false">Assumptions!$B$38/12</f>
        <v>4000</v>
      </c>
      <c r="AI27" s="11" t="n">
        <f aca="false">Assumptions!$B$38/12</f>
        <v>4000</v>
      </c>
      <c r="AJ27" s="11" t="n">
        <f aca="false">Assumptions!$B$38/12</f>
        <v>4000</v>
      </c>
      <c r="AK27" s="11" t="n">
        <f aca="false">Assumptions!$B$38/12</f>
        <v>4000</v>
      </c>
      <c r="AL27" s="2"/>
    </row>
    <row r="28" customFormat="false" ht="15" hidden="false" customHeight="false" outlineLevel="0" collapsed="false">
      <c r="A28" s="10" t="s">
        <v>138</v>
      </c>
      <c r="B28" s="24" t="n">
        <f aca="false">SUM(B20:B27)</f>
        <v>10000</v>
      </c>
      <c r="C28" s="24" t="n">
        <f aca="false">SUM(C20:C27)</f>
        <v>15333.3333333333</v>
      </c>
      <c r="D28" s="24" t="n">
        <f aca="false">SUM(D20:D27)</f>
        <v>63666.6666666667</v>
      </c>
      <c r="E28" s="24" t="n">
        <f aca="false">SUM(E20:E27)</f>
        <v>67000</v>
      </c>
      <c r="F28" s="24" t="n">
        <f aca="false">SUM(F20:F27)</f>
        <v>67000</v>
      </c>
      <c r="G28" s="24" t="n">
        <f aca="false">SUM(G20:G27)</f>
        <v>67170.9304119521</v>
      </c>
      <c r="H28" s="24" t="n">
        <f aca="false">SUM(H20:H27)</f>
        <v>67484.2211078326</v>
      </c>
      <c r="I28" s="24" t="n">
        <f aca="false">SUM(I20:I27)</f>
        <v>73167.7122300876</v>
      </c>
      <c r="J28" s="24" t="n">
        <f aca="false">SUM(J20:J27)</f>
        <v>76927.7017744534</v>
      </c>
      <c r="K28" s="24" t="n">
        <f aca="false">SUM(K20:K27)</f>
        <v>77430.0914233755</v>
      </c>
      <c r="L28" s="24" t="n">
        <f aca="false">SUM(L20:L27)</f>
        <v>77967.4571758084</v>
      </c>
      <c r="M28" s="24" t="n">
        <f aca="false">SUM(M20:M27)</f>
        <v>81912.7826040503</v>
      </c>
      <c r="N28" s="24" t="n">
        <f aca="false">SUM(N20:N27)</f>
        <v>88391.9881113432</v>
      </c>
      <c r="O28" s="24" t="n">
        <f aca="false">SUM(O20:O27)</f>
        <v>95444.7348968964</v>
      </c>
      <c r="P28" s="24" t="n">
        <f aca="false">SUM(P20:P27)</f>
        <v>97696.9542145941</v>
      </c>
      <c r="Q28" s="24" t="n">
        <f aca="false">SUM(Q20:Q27)</f>
        <v>104854.984672448</v>
      </c>
      <c r="R28" s="24" t="n">
        <f aca="false">SUM(R20:R27)</f>
        <v>107211.434825724</v>
      </c>
      <c r="S28" s="24" t="n">
        <f aca="false">SUM(S20:S27)</f>
        <v>109599.320477466</v>
      </c>
      <c r="T28" s="24" t="n">
        <f aca="false">SUM(T20:T27)</f>
        <v>120684.993939358</v>
      </c>
      <c r="U28" s="24" t="n">
        <f aca="false">SUM(U20:U27)</f>
        <v>123134.810666632</v>
      </c>
      <c r="V28" s="24" t="n">
        <f aca="false">SUM(V20:V27)</f>
        <v>125615.129226632</v>
      </c>
      <c r="W28" s="24" t="n">
        <f aca="false">SUM(W20:W27)</f>
        <v>131458.977934366</v>
      </c>
      <c r="X28" s="24" t="n">
        <f aca="false">SUM(X20:X27)</f>
        <v>133999.388155022</v>
      </c>
      <c r="Y28" s="24" t="n">
        <f aca="false">SUM(Y20:Y27)</f>
        <v>139902.727606805</v>
      </c>
      <c r="Z28" s="24" t="n">
        <f aca="false">SUM(Z20:Z27)</f>
        <v>142502.03366407</v>
      </c>
      <c r="AA28" s="24" t="n">
        <f aca="false">SUM(AA20:AA27)</f>
        <v>145130.346660763</v>
      </c>
      <c r="AB28" s="24" t="n">
        <f aca="false">SUM(AB20:AB27)</f>
        <v>156454.043194155</v>
      </c>
      <c r="AC28" s="24" t="n">
        <f aca="false">SUM(AC20:AC27)</f>
        <v>162472.836095547</v>
      </c>
      <c r="AD28" s="24" t="n">
        <f aca="false">SUM(AD20:AD27)</f>
        <v>165186.441067925</v>
      </c>
      <c r="AE28" s="24" t="n">
        <f aca="false">SUM(AE20:AE27)</f>
        <v>167927.909990579</v>
      </c>
      <c r="AF28" s="24" t="n">
        <f aca="false">SUM(AF20:AF27)</f>
        <v>174030.29755734</v>
      </c>
      <c r="AG28" s="24" t="n">
        <f aca="false">SUM(AG20:AG27)</f>
        <v>176826.661248433</v>
      </c>
      <c r="AH28" s="24" t="n">
        <f aca="false">SUM(AH20:AH27)</f>
        <v>179650.061302616</v>
      </c>
      <c r="AI28" s="24" t="n">
        <f aca="false">SUM(AI20:AI27)</f>
        <v>189166.894022923</v>
      </c>
      <c r="AJ28" s="24" t="n">
        <f aca="false">SUM(AJ20:AJ27)</f>
        <v>197376.89174936</v>
      </c>
      <c r="AK28" s="24" t="n">
        <f aca="false">SUM(AK20:AK27)</f>
        <v>200279.789498533</v>
      </c>
      <c r="AL28" s="2"/>
    </row>
    <row r="29" customFormat="false" ht="15" hidden="false" customHeight="false" outlineLevel="0" collapsed="false">
      <c r="A29" s="4" t="s">
        <v>139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customFormat="false" ht="15" hidden="false" customHeight="false" outlineLevel="0" collapsed="false">
      <c r="A30" s="21" t="s">
        <v>140</v>
      </c>
      <c r="B30" s="11" t="n">
        <f aca="false">B18-B28</f>
        <v>-6900.112</v>
      </c>
      <c r="C30" s="11" t="n">
        <f aca="false">C18-C28</f>
        <v>-12264.4442133333</v>
      </c>
      <c r="D30" s="11" t="n">
        <f aca="false">D18-D28</f>
        <v>-60628.4664378667</v>
      </c>
      <c r="E30" s="11" t="n">
        <f aca="false">E18-E28</f>
        <v>-48438.681773488</v>
      </c>
      <c r="F30" s="11" t="n">
        <f aca="false">F18-F28</f>
        <v>-34581.7949557531</v>
      </c>
      <c r="G30" s="11" t="n">
        <f aca="false">G18-G28</f>
        <v>-18585.4074181477</v>
      </c>
      <c r="H30" s="11" t="n">
        <f aca="false">H18-H28</f>
        <v>-5628.5533439662</v>
      </c>
      <c r="I30" s="11" t="n">
        <f aca="false">I18-I28</f>
        <v>3049.89885614013</v>
      </c>
      <c r="J30" s="11" t="n">
        <f aca="false">J18-J28</f>
        <v>19917.2332009121</v>
      </c>
      <c r="K30" s="11" t="n">
        <f aca="false">K18-K28</f>
        <v>42964.6942022363</v>
      </c>
      <c r="L30" s="11" t="n">
        <f aca="false">L18-L28</f>
        <v>62326.3805935472</v>
      </c>
      <c r="M30" s="11" t="n">
        <f aca="false">M18-M28</f>
        <v>84490.1167876118</v>
      </c>
      <c r="N30" s="11" t="n">
        <f aca="false">N18-N28</f>
        <v>113274.919326177</v>
      </c>
      <c r="O30" s="11" t="n">
        <f aca="false">O18-O28</f>
        <v>136920.503466248</v>
      </c>
      <c r="P30" s="11" t="n">
        <f aca="false">P18-P28</f>
        <v>162404.631764919</v>
      </c>
      <c r="Q30" s="11" t="n">
        <f aca="false">Q18-Q28</f>
        <v>189275.58544727</v>
      </c>
      <c r="R30" s="11" t="n">
        <f aca="false">R18-R28</f>
        <v>217952.829592797</v>
      </c>
      <c r="S30" s="11" t="n">
        <f aca="false">S18-S28</f>
        <v>247593.301296869</v>
      </c>
      <c r="T30" s="11" t="n">
        <f aca="false">T18-T28</f>
        <v>269520.701617234</v>
      </c>
      <c r="U30" s="11" t="n">
        <f aca="false">U18-U28</f>
        <v>301058.827934395</v>
      </c>
      <c r="V30" s="11" t="n">
        <f aca="false">V18-V28</f>
        <v>333531.572988384</v>
      </c>
      <c r="W30" s="11" t="n">
        <f aca="false">W18-W28</f>
        <v>363596.257258501</v>
      </c>
      <c r="X30" s="11" t="n">
        <f aca="false">X18-X28</f>
        <v>397910.294685916</v>
      </c>
      <c r="Y30" s="11" t="n">
        <f aca="false">Y18-Y28</f>
        <v>429797.858405723</v>
      </c>
      <c r="Z30" s="11" t="n">
        <f aca="false">Z18-Z28</f>
        <v>498592.781622249</v>
      </c>
      <c r="AA30" s="11" t="n">
        <f aca="false">AA18-AA28</f>
        <v>536745.520472693</v>
      </c>
      <c r="AB30" s="11" t="n">
        <f aca="false">AB18-AB28</f>
        <v>567146.065267966</v>
      </c>
      <c r="AC30" s="11" t="n">
        <f aca="false">AC18-AC28</f>
        <v>603785.271281953</v>
      </c>
      <c r="AD30" s="11" t="n">
        <f aca="false">AD18-AD28</f>
        <v>644654.085235801</v>
      </c>
      <c r="AE30" s="11" t="n">
        <f aca="false">AE18-AE28</f>
        <v>686410.211050109</v>
      </c>
      <c r="AF30" s="11" t="n">
        <f aca="false">AF18-AF28</f>
        <v>725711.442272942</v>
      </c>
      <c r="AG30" s="11" t="n">
        <f aca="false">AG18-AG28</f>
        <v>769215.661183545</v>
      </c>
      <c r="AH30" s="11" t="n">
        <f aca="false">AH18-AH28</f>
        <v>813580.837905043</v>
      </c>
      <c r="AI30" s="11" t="n">
        <f aca="false">AI18-AI28</f>
        <v>852131.696192659</v>
      </c>
      <c r="AJ30" s="11" t="n">
        <f aca="false">AJ18-AJ28</f>
        <v>892859.712564066</v>
      </c>
      <c r="AK30" s="11" t="n">
        <f aca="false">AK18-AK28</f>
        <v>939756.448771759</v>
      </c>
      <c r="AL30" s="2"/>
    </row>
    <row r="31" customFormat="false" ht="15" hidden="false" customHeight="false" outlineLevel="0" collapsed="false">
      <c r="A31" s="21" t="s">
        <v>141</v>
      </c>
      <c r="B31" s="11" t="n">
        <f aca="false">IF(B4=Assumptions!$B$23,Assumptions!$B$25,0)</f>
        <v>1000000</v>
      </c>
      <c r="C31" s="11" t="n">
        <f aca="false">IF(C4=Assumptions!$B$23,Assumptions!$B$25,0)</f>
        <v>0</v>
      </c>
      <c r="D31" s="11" t="n">
        <f aca="false">IF(D4=Assumptions!$B$23,Assumptions!$B$25,0)</f>
        <v>0</v>
      </c>
      <c r="E31" s="11" t="n">
        <f aca="false">IF(E4=Assumptions!$B$23,Assumptions!$B$25,0)</f>
        <v>0</v>
      </c>
      <c r="F31" s="11" t="n">
        <f aca="false">IF(F4=Assumptions!$B$23,Assumptions!$B$25,0)</f>
        <v>0</v>
      </c>
      <c r="G31" s="11" t="n">
        <f aca="false">IF(G4=Assumptions!$B$23,Assumptions!$B$25,0)</f>
        <v>0</v>
      </c>
      <c r="H31" s="11" t="n">
        <f aca="false">IF(H4=Assumptions!$B$23,Assumptions!$B$25,0)</f>
        <v>0</v>
      </c>
      <c r="I31" s="11" t="n">
        <f aca="false">IF(I4=Assumptions!$B$23,Assumptions!$B$25,0)</f>
        <v>0</v>
      </c>
      <c r="J31" s="11" t="n">
        <f aca="false">IF(J4=Assumptions!$B$23,Assumptions!$B$25,0)</f>
        <v>0</v>
      </c>
      <c r="K31" s="11" t="n">
        <f aca="false">IF(K4=Assumptions!$B$23,Assumptions!$B$25,0)</f>
        <v>0</v>
      </c>
      <c r="L31" s="11" t="n">
        <f aca="false">IF(L4=Assumptions!$B$23,Assumptions!$B$25,0)</f>
        <v>0</v>
      </c>
      <c r="M31" s="11" t="n">
        <f aca="false">IF(M4=Assumptions!$B$23,Assumptions!$B$25,0)</f>
        <v>0</v>
      </c>
      <c r="N31" s="11" t="n">
        <f aca="false">IF(N4=Assumptions!$B$23,Assumptions!$B$25,0)</f>
        <v>0</v>
      </c>
      <c r="O31" s="11" t="n">
        <f aca="false">IF(O4=Assumptions!$B$23,Assumptions!$B$25,0)</f>
        <v>0</v>
      </c>
      <c r="P31" s="11" t="n">
        <f aca="false">IF(P4=Assumptions!$B$23,Assumptions!$B$25,0)</f>
        <v>0</v>
      </c>
      <c r="Q31" s="11" t="n">
        <f aca="false">IF(Q4=Assumptions!$B$23,Assumptions!$B$25,0)</f>
        <v>0</v>
      </c>
      <c r="R31" s="11" t="n">
        <f aca="false">IF(R4=Assumptions!$B$23,Assumptions!$B$25,0)</f>
        <v>0</v>
      </c>
      <c r="S31" s="11" t="n">
        <f aca="false">IF(S4=Assumptions!$B$23,Assumptions!$B$25,0)</f>
        <v>0</v>
      </c>
      <c r="T31" s="11" t="n">
        <f aca="false">IF(T4=Assumptions!$B$23,Assumptions!$B$25,0)</f>
        <v>0</v>
      </c>
      <c r="U31" s="11" t="n">
        <f aca="false">IF(U4=Assumptions!$B$23,Assumptions!$B$25,0)</f>
        <v>0</v>
      </c>
      <c r="V31" s="11" t="n">
        <f aca="false">IF(V4=Assumptions!$B$23,Assumptions!$B$25,0)</f>
        <v>0</v>
      </c>
      <c r="W31" s="11" t="n">
        <f aca="false">IF(W4=Assumptions!$B$23,Assumptions!$B$25,0)</f>
        <v>0</v>
      </c>
      <c r="X31" s="11" t="n">
        <f aca="false">IF(X4=Assumptions!$B$23,Assumptions!$B$25,0)</f>
        <v>0</v>
      </c>
      <c r="Y31" s="11" t="n">
        <f aca="false">IF(Y4=Assumptions!$B$23,Assumptions!$B$25,0)</f>
        <v>0</v>
      </c>
      <c r="Z31" s="11" t="n">
        <f aca="false">IF(Z4=Assumptions!$B$23,Assumptions!$B$25,0)</f>
        <v>0</v>
      </c>
      <c r="AA31" s="11" t="n">
        <f aca="false">IF(AA4=Assumptions!$B$23,Assumptions!$B$25,0)</f>
        <v>0</v>
      </c>
      <c r="AB31" s="11" t="n">
        <f aca="false">IF(AB4=Assumptions!$B$23,Assumptions!$B$25,0)</f>
        <v>0</v>
      </c>
      <c r="AC31" s="11" t="n">
        <f aca="false">IF(AC4=Assumptions!$B$23,Assumptions!$B$25,0)</f>
        <v>0</v>
      </c>
      <c r="AD31" s="11" t="n">
        <f aca="false">IF(AD4=Assumptions!$B$23,Assumptions!$B$25,0)</f>
        <v>0</v>
      </c>
      <c r="AE31" s="11" t="n">
        <f aca="false">IF(AE4=Assumptions!$B$23,Assumptions!$B$25,0)</f>
        <v>0</v>
      </c>
      <c r="AF31" s="11" t="n">
        <f aca="false">IF(AF4=Assumptions!$B$23,Assumptions!$B$25,0)</f>
        <v>0</v>
      </c>
      <c r="AG31" s="11" t="n">
        <f aca="false">IF(AG4=Assumptions!$B$23,Assumptions!$B$25,0)</f>
        <v>0</v>
      </c>
      <c r="AH31" s="11" t="n">
        <f aca="false">IF(AH4=Assumptions!$B$23,Assumptions!$B$25,0)</f>
        <v>0</v>
      </c>
      <c r="AI31" s="11" t="n">
        <f aca="false">IF(AI4=Assumptions!$B$23,Assumptions!$B$25,0)</f>
        <v>0</v>
      </c>
      <c r="AJ31" s="11" t="n">
        <f aca="false">IF(AJ4=Assumptions!$B$23,Assumptions!$B$25,0)</f>
        <v>0</v>
      </c>
      <c r="AK31" s="11" t="n">
        <f aca="false">IF(AK4=Assumptions!$B$23,Assumptions!$B$25,0)</f>
        <v>0</v>
      </c>
      <c r="AL31" s="2"/>
    </row>
    <row r="32" customFormat="false" ht="15" hidden="false" customHeight="false" outlineLevel="0" collapsed="false">
      <c r="A32" s="10" t="s">
        <v>142</v>
      </c>
      <c r="B32" s="24" t="n">
        <f aca="false">B30+B31</f>
        <v>993099.888</v>
      </c>
      <c r="C32" s="24" t="n">
        <f aca="false">B32+C30+C31</f>
        <v>980835.443786667</v>
      </c>
      <c r="D32" s="24" t="n">
        <f aca="false">C32+D30+D31</f>
        <v>920206.9773488</v>
      </c>
      <c r="E32" s="24" t="n">
        <f aca="false">D32+E30+E31</f>
        <v>871768.295575312</v>
      </c>
      <c r="F32" s="24" t="n">
        <f aca="false">E32+F30+F31</f>
        <v>837186.500619559</v>
      </c>
      <c r="G32" s="24" t="n">
        <f aca="false">F32+G30+G31</f>
        <v>818601.093201411</v>
      </c>
      <c r="H32" s="24" t="n">
        <f aca="false">G32+H30+H31</f>
        <v>812972.539857445</v>
      </c>
      <c r="I32" s="24" t="n">
        <f aca="false">H32+I30+I31</f>
        <v>816022.438713585</v>
      </c>
      <c r="J32" s="24" t="n">
        <f aca="false">I32+J30+J31</f>
        <v>835939.671914497</v>
      </c>
      <c r="K32" s="24" t="n">
        <f aca="false">J32+K30+K31</f>
        <v>878904.366116733</v>
      </c>
      <c r="L32" s="24" t="n">
        <f aca="false">K32+L30+L31</f>
        <v>941230.746710281</v>
      </c>
      <c r="M32" s="24" t="n">
        <f aca="false">L32+M30+M31</f>
        <v>1025720.86349789</v>
      </c>
      <c r="N32" s="24" t="n">
        <f aca="false">M32+N30+N31</f>
        <v>1138995.78282407</v>
      </c>
      <c r="O32" s="24" t="n">
        <f aca="false">N32+O30+O31</f>
        <v>1275916.28629032</v>
      </c>
      <c r="P32" s="24" t="n">
        <f aca="false">O32+P30+P31</f>
        <v>1438320.91805524</v>
      </c>
      <c r="Q32" s="24" t="n">
        <f aca="false">P32+Q30+Q31</f>
        <v>1627596.50350251</v>
      </c>
      <c r="R32" s="24" t="n">
        <f aca="false">Q32+R30+R31</f>
        <v>1845549.3330953</v>
      </c>
      <c r="S32" s="24" t="n">
        <f aca="false">R32+S30+S31</f>
        <v>2093142.63439217</v>
      </c>
      <c r="T32" s="24" t="n">
        <f aca="false">S32+T30+T31</f>
        <v>2362663.33600941</v>
      </c>
      <c r="U32" s="24" t="n">
        <f aca="false">T32+U30+U31</f>
        <v>2663722.1639438</v>
      </c>
      <c r="V32" s="24" t="n">
        <f aca="false">U32+V30+V31</f>
        <v>2997253.73693219</v>
      </c>
      <c r="W32" s="24" t="n">
        <f aca="false">V32+W30+W31</f>
        <v>3360849.99419069</v>
      </c>
      <c r="X32" s="24" t="n">
        <f aca="false">W32+X30+X31</f>
        <v>3758760.2888766</v>
      </c>
      <c r="Y32" s="24" t="n">
        <f aca="false">X32+Y30+Y31</f>
        <v>4188558.14728233</v>
      </c>
      <c r="Z32" s="24" t="n">
        <f aca="false">Y32+Z30+Z31</f>
        <v>4687150.92890458</v>
      </c>
      <c r="AA32" s="24" t="n">
        <f aca="false">Z32+AA30+AA31</f>
        <v>5223896.44937727</v>
      </c>
      <c r="AB32" s="24" t="n">
        <f aca="false">AA32+AB30+AB31</f>
        <v>5791042.51464524</v>
      </c>
      <c r="AC32" s="24" t="n">
        <f aca="false">AB32+AC30+AC31</f>
        <v>6394827.78592719</v>
      </c>
      <c r="AD32" s="24" t="n">
        <f aca="false">AC32+AD30+AD31</f>
        <v>7039481.87116299</v>
      </c>
      <c r="AE32" s="24" t="n">
        <f aca="false">AD32+AE30+AE31</f>
        <v>7725892.0822131</v>
      </c>
      <c r="AF32" s="24" t="n">
        <f aca="false">AE32+AF30+AF31</f>
        <v>8451603.52448604</v>
      </c>
      <c r="AG32" s="24" t="n">
        <f aca="false">AF32+AG30+AG31</f>
        <v>9220819.18566959</v>
      </c>
      <c r="AH32" s="24" t="n">
        <f aca="false">AG32+AH30+AH31</f>
        <v>10034400.0235746</v>
      </c>
      <c r="AI32" s="24" t="n">
        <f aca="false">AH32+AI30+AI31</f>
        <v>10886531.7197673</v>
      </c>
      <c r="AJ32" s="24" t="n">
        <f aca="false">AI32+AJ30+AJ31</f>
        <v>11779391.4323314</v>
      </c>
      <c r="AK32" s="24" t="n">
        <f aca="false">AJ32+AK30+AK31</f>
        <v>12719147.8811031</v>
      </c>
      <c r="AL3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2026-10-18T12:34:16Z</dcterms:created>
  <dc:creator>openpyxl</dc:creator>
  <dc:description/>
  <dc:language>en-US</dc:language>
  <cp:lastModifiedBy/>
  <dcterms:modified xsi:type="dcterms:W3CDTF">2026-10-18T12:34:17Z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