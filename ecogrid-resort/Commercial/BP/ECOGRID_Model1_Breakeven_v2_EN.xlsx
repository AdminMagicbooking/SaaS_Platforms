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Breakeven" sheetId="3" state="visible" r:id="rId5"/>
    <sheet name="Tier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<sst xmlns="http://schemas.openxmlformats.org/spreadsheetml/2006/main" count="112" uniqueCount="109">
  <si>
    <t xml:space="preserve">ECOGRID RESORT | SmartGrid Model 1 - Breakeven Analysis</t>
  </si>
  <si>
    <t xml:space="preserve">Corsica Pilot XL | EPC + Recurring Revenue | Conservative 500,000 EUR/yr client savings</t>
  </si>
  <si>
    <t xml:space="preserve">Indicator</t>
  </si>
  <si>
    <t xml:space="preserve">Value</t>
  </si>
  <si>
    <t xml:space="preserve">Notes</t>
  </si>
  <si>
    <t xml:space="preserve">EPC margin per site (XL)</t>
  </si>
  <si>
    <t xml:space="preserve">855,000 EUR</t>
  </si>
  <si>
    <t xml:space="preserve">15% of 5,700,000 CAPEX</t>
  </si>
  <si>
    <t xml:space="preserve">Year 1 OPEX estimate</t>
  </si>
  <si>
    <t xml:space="preserve">872,000 EUR</t>
  </si>
  <si>
    <t xml:space="preserve">Full company costs</t>
  </si>
  <si>
    <t xml:space="preserve">Sites needed to cover Yr1 OPEX</t>
  </si>
  <si>
    <t xml:space="preserve">1.02 (approx 1)</t>
  </si>
  <si>
    <t xml:space="preserve">Single XL deal covers opex</t>
  </si>
  <si>
    <t xml:space="preserve">Recurring revenue per site/yr</t>
  </si>
  <si>
    <t xml:space="preserve">15,000 EUR</t>
  </si>
  <si>
    <t xml:space="preserve">SaaS 5k + Maintenance 10k</t>
  </si>
  <si>
    <t xml:space="preserve">Client savings/yr (conservative XL)</t>
  </si>
  <si>
    <t xml:space="preserve">500,000 EUR</t>
  </si>
  <si>
    <t xml:space="preserve">Conservative floor</t>
  </si>
  <si>
    <t xml:space="preserve">Client payback (yrs)</t>
  </si>
  <si>
    <t xml:space="preserve">11.75 yrs</t>
  </si>
  <si>
    <t xml:space="preserve">5,700k / (500k - 15k)</t>
  </si>
  <si>
    <t xml:space="preserve">Break-even month (1st deal by M4)</t>
  </si>
  <si>
    <t xml:space="preserve">Month 6</t>
  </si>
  <si>
    <t xml:space="preserve">Cumulative positive</t>
  </si>
  <si>
    <t xml:space="preserve">Model 1 recommended for L and XL sites. EPC margin + recurring revenue provides strong unit economics with zero capital at risk.</t>
  </si>
  <si>
    <t xml:space="preserve">Section A - Revenue Model</t>
  </si>
  <si>
    <t xml:space="preserve">CAPEX base (EUR)</t>
  </si>
  <si>
    <t xml:space="preserve">Scale factor</t>
  </si>
  <si>
    <t xml:space="preserve">EPC margin %</t>
  </si>
  <si>
    <t xml:space="preserve">EPC margin income</t>
  </si>
  <si>
    <t xml:space="preserve">SaaS fee/yr (EUR)</t>
  </si>
  <si>
    <t xml:space="preserve">Maintenance revenue/yr (EUR)</t>
  </si>
  <si>
    <t xml:space="preserve">Total recurring/yr</t>
  </si>
  <si>
    <t xml:space="preserve">Client annual savings (conservative XL)</t>
  </si>
  <si>
    <t xml:space="preserve">Section B - Deal Economics</t>
  </si>
  <si>
    <t xml:space="preserve">EPC revenue per XL site (EUR)</t>
  </si>
  <si>
    <t xml:space="preserve">Months to deploy post-sign</t>
  </si>
  <si>
    <t xml:space="preserve">EPC recognition months</t>
  </si>
  <si>
    <t xml:space="preserve">Section C - Company OPEX</t>
  </si>
  <si>
    <t xml:space="preserve">Shareholders</t>
  </si>
  <si>
    <t xml:space="preserve">Shareholder comp/mo (EUR)</t>
  </si>
  <si>
    <t xml:space="preserve">Staff count</t>
  </si>
  <si>
    <t xml:space="preserve">Staff salary/mo (EUR)</t>
  </si>
  <si>
    <t xml:space="preserve">Office/mo (EUR)</t>
  </si>
  <si>
    <t xml:space="preserve">Software/yr (EUR)</t>
  </si>
  <si>
    <t xml:space="preserve">Marketing/mo (EUR)</t>
  </si>
  <si>
    <t xml:space="preserve">Marketing months</t>
  </si>
  <si>
    <t xml:space="preserve">Travel/yr (EUR)</t>
  </si>
  <si>
    <t xml:space="preserve">Legal/yr (EUR)</t>
  </si>
  <si>
    <t xml:space="preserve">Inflation rate</t>
  </si>
  <si>
    <t xml:space="preserve">24-Month Cashflow &amp; Breakeven Analysis — Model 1 EPC</t>
  </si>
  <si>
    <t xml:space="preserve">Month</t>
  </si>
  <si>
    <t xml:space="preserve">Sites Signed</t>
  </si>
  <si>
    <t xml:space="preserve">EPC Revenue (EUR)</t>
  </si>
  <si>
    <t xml:space="preserve">SaaS+Maint (EUR)</t>
  </si>
  <si>
    <t xml:space="preserve">Total Revenue</t>
  </si>
  <si>
    <t xml:space="preserve">Monthly OPEX</t>
  </si>
  <si>
    <t xml:space="preserve">Cumulative Net</t>
  </si>
  <si>
    <t xml:space="preserve">Monthly OPEX = 72,667 EUR (872k annual / 12). EPC per site = 855,000 EUR.</t>
  </si>
  <si>
    <t xml:space="preserve">Tier</t>
  </si>
  <si>
    <t xml:space="preserve">Solar kWp</t>
  </si>
  <si>
    <t xml:space="preserve">Storage MWh</t>
  </si>
  <si>
    <t xml:space="preserve">EV Chargers</t>
  </si>
  <si>
    <t xml:space="preserve">CAPEX (EUR)</t>
  </si>
  <si>
    <t xml:space="preserve">Client Savings/yr</t>
  </si>
  <si>
    <t xml:space="preserve">M1 Client Payback</t>
  </si>
  <si>
    <t xml:space="preserve">M2 SG Share (60%)</t>
  </si>
  <si>
    <t xml:space="preserve">M2 SG Payback</t>
  </si>
  <si>
    <t xml:space="preserve">M2 Viable?</t>
  </si>
  <si>
    <t xml:space="preserve">S</t>
  </si>
  <si>
    <t xml:space="preserve">50-80</t>
  </si>
  <si>
    <t xml:space="preserve">0.15-0.25</t>
  </si>
  <si>
    <t xml:space="preserve">2-4</t>
  </si>
  <si>
    <t xml:space="preserve">200k-350k</t>
  </si>
  <si>
    <t xml:space="preserve">12k-30k</t>
  </si>
  <si>
    <t xml:space="preserve">&gt;10 yrs</t>
  </si>
  <si>
    <t xml:space="preserve">7,200-18,000/yr</t>
  </si>
  <si>
    <t xml:space="preserve">&gt;15 yrs</t>
  </si>
  <si>
    <t xml:space="preserve">NOT VIABLE</t>
  </si>
  <si>
    <t xml:space="preserve">M</t>
  </si>
  <si>
    <t xml:space="preserve">250-350</t>
  </si>
  <si>
    <t xml:space="preserve">0.8-1.0</t>
  </si>
  <si>
    <t xml:space="preserve">6-10</t>
  </si>
  <si>
    <t xml:space="preserve">900k-1200k</t>
  </si>
  <si>
    <t xml:space="preserve">70k-130k</t>
  </si>
  <si>
    <t xml:space="preserve">8-13 yrs</t>
  </si>
  <si>
    <t xml:space="preserve">42k-78k/yr</t>
  </si>
  <si>
    <t xml:space="preserve">11.5-19 yrs</t>
  </si>
  <si>
    <t xml:space="preserve">MARGINAL</t>
  </si>
  <si>
    <t xml:space="preserve">L</t>
  </si>
  <si>
    <t xml:space="preserve">700-900</t>
  </si>
  <si>
    <t xml:space="preserve">2.1-2.7</t>
  </si>
  <si>
    <t xml:space="preserve">15-25</t>
  </si>
  <si>
    <t xml:space="preserve">2100k-2700k</t>
  </si>
  <si>
    <t xml:space="preserve">200k (cons.)</t>
  </si>
  <si>
    <t xml:space="preserve">12.5 yrs</t>
  </si>
  <si>
    <t xml:space="preserve">120k/yr</t>
  </si>
  <si>
    <t xml:space="preserve">17.5-22 yrs</t>
  </si>
  <si>
    <t xml:space="preserve">M1 PREFERRED</t>
  </si>
  <si>
    <t xml:space="preserve">XL</t>
  </si>
  <si>
    <t xml:space="preserve">1800-2200</t>
  </si>
  <si>
    <t xml:space="preserve">5.5-6.5</t>
  </si>
  <si>
    <t xml:space="preserve">30-50</t>
  </si>
  <si>
    <t xml:space="preserve">5200k-6300k</t>
  </si>
  <si>
    <t xml:space="preserve">500k (cons.)</t>
  </si>
  <si>
    <t xml:space="preserve">300k/yr</t>
  </si>
  <si>
    <t xml:space="preserve">16.4 yrs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</si>
</sst>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0%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E3A5F"/>
      <name val="Cambria"/>
      <family val="0"/>
      <charset val="1"/>
    </font>
    <font>
      <b val="true"/>
      <sz val="11"/>
      <color rgb="FF1B5E20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C5282"/>
        <bgColor rgb="FF1E3A5F"/>
      </patternFill>
    </fill>
    <fill>
      <patternFill patternType="solid">
        <fgColor rgb="FFE8F5E9"/>
        <bgColor rgb="FFDDEEFF"/>
      </patternFill>
    </fill>
    <fill>
      <patternFill patternType="solid">
        <fgColor rgb="FFDDEEFF"/>
        <bgColor rgb="FFE8F5E9"/>
      </patternFill>
    </fill>
    <fill>
      <patternFill patternType="solid">
        <fgColor rgb="FFFFCCCC"/>
        <bgColor rgb="FFCCCCFF"/>
      </patternFill>
    </fill>
    <fill>
      <patternFill patternType="solid">
        <fgColor rgb="FFC8E6C9"/>
        <bgColor rgb="FFDDEEFF"/>
      </patternFill>
    </fill>
    <fill>
      <patternFill patternType="solid">
        <fgColor rgb="FFFFF9C4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0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0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0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0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0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0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0" t="s">
        <v>25</v>
      </c>
    </row>
    <row r="13" customFormat="false" ht="15" hidden="false" customHeight="true" outlineLevel="0" collapsed="false">
      <c r="A13" s="6" t="s">
        <v>26</v>
      </c>
      <c r="B13" s="6"/>
      <c r="C13" s="6"/>
    </row>
    <row r="14" customFormat="false" ht="15" hidden="false" customHeight="false" outlineLevel="0" collapsed="false">
      <c r="A14" s="6"/>
      <c r="B14" s="6"/>
      <c r="C14" s="6"/>
    </row>
  </sheetData>
  <mergeCells count="3">
    <mergeCell ref="A1:F1"/>
    <mergeCell ref="A2:F2"/>
    <mergeCell ref="A13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4" customFormat="false" ht="15" hidden="false" customHeight="false" outlineLevel="0" collapsed="false">
      <c r="A4" s="7" t="s">
        <v>27</v>
      </c>
      <c r="B4" s="7"/>
      <c r="C4" s="7"/>
    </row>
    <row r="5" customFormat="false" ht="15" hidden="false" customHeight="false" outlineLevel="0" collapsed="false">
      <c r="A5" s="4" t="s">
        <v>28</v>
      </c>
      <c r="B5" s="8" t="n">
        <v>5700000</v>
      </c>
    </row>
    <row r="6" customFormat="false" ht="15" hidden="false" customHeight="false" outlineLevel="0" collapsed="false">
      <c r="A6" s="4" t="s">
        <v>29</v>
      </c>
      <c r="B6" s="9" t="n">
        <v>1</v>
      </c>
    </row>
    <row r="7" customFormat="false" ht="15" hidden="false" customHeight="false" outlineLevel="0" collapsed="false">
      <c r="A7" s="4" t="s">
        <v>30</v>
      </c>
      <c r="B7" s="10" t="n">
        <v>0.15</v>
      </c>
    </row>
    <row r="8" customFormat="false" ht="15" hidden="false" customHeight="false" outlineLevel="0" collapsed="false">
      <c r="A8" s="4" t="s">
        <v>31</v>
      </c>
      <c r="B8" s="11" t="n">
        <f aca="false">B5*B6*B7</f>
        <v>855000</v>
      </c>
    </row>
    <row r="9" customFormat="false" ht="15" hidden="false" customHeight="false" outlineLevel="0" collapsed="false">
      <c r="A9" s="4" t="s">
        <v>32</v>
      </c>
      <c r="B9" s="8" t="n">
        <v>5000</v>
      </c>
    </row>
    <row r="10" customFormat="false" ht="15" hidden="false" customHeight="false" outlineLevel="0" collapsed="false">
      <c r="A10" s="4" t="s">
        <v>33</v>
      </c>
      <c r="B10" s="8" t="n">
        <v>10000</v>
      </c>
    </row>
    <row r="11" customFormat="false" ht="15" hidden="false" customHeight="false" outlineLevel="0" collapsed="false">
      <c r="A11" s="4" t="s">
        <v>34</v>
      </c>
      <c r="B11" s="11" t="n">
        <f aca="false">B9+B10</f>
        <v>15000</v>
      </c>
    </row>
    <row r="12" customFormat="false" ht="15" hidden="false" customHeight="false" outlineLevel="0" collapsed="false">
      <c r="A12" s="4" t="s">
        <v>35</v>
      </c>
      <c r="B12" s="8" t="n">
        <v>500000</v>
      </c>
    </row>
    <row r="13" customFormat="false" ht="15" hidden="false" customHeight="false" outlineLevel="0" collapsed="false">
      <c r="A13" s="4" t="s">
        <v>20</v>
      </c>
      <c r="B13" s="12" t="n">
        <f aca="false">IF(B12-B11&lt;=0,"N/A",B5*B6/(B12-B11))</f>
        <v>11.7525773195876</v>
      </c>
    </row>
    <row r="15" customFormat="false" ht="15" hidden="false" customHeight="false" outlineLevel="0" collapsed="false">
      <c r="A15" s="7" t="s">
        <v>36</v>
      </c>
      <c r="B15" s="7"/>
      <c r="C15" s="7"/>
    </row>
    <row r="16" customFormat="false" ht="15" hidden="false" customHeight="false" outlineLevel="0" collapsed="false">
      <c r="A16" s="4" t="s">
        <v>37</v>
      </c>
      <c r="B16" s="11" t="n">
        <f aca="false">B5*B6*B7</f>
        <v>855000</v>
      </c>
    </row>
    <row r="17" customFormat="false" ht="15" hidden="false" customHeight="false" outlineLevel="0" collapsed="false">
      <c r="A17" s="4" t="s">
        <v>38</v>
      </c>
      <c r="B17" s="13" t="n">
        <v>3</v>
      </c>
    </row>
    <row r="18" customFormat="false" ht="15" hidden="false" customHeight="false" outlineLevel="0" collapsed="false">
      <c r="A18" s="4" t="s">
        <v>39</v>
      </c>
      <c r="B18" s="13" t="n">
        <v>6</v>
      </c>
    </row>
    <row r="21" customFormat="false" ht="15" hidden="false" customHeight="false" outlineLevel="0" collapsed="false">
      <c r="A21" s="7" t="s">
        <v>40</v>
      </c>
      <c r="B21" s="7"/>
      <c r="C21" s="7"/>
    </row>
    <row r="22" customFormat="false" ht="15" hidden="false" customHeight="false" outlineLevel="0" collapsed="false">
      <c r="A22" s="4" t="s">
        <v>41</v>
      </c>
      <c r="B22" s="13" t="n">
        <v>5</v>
      </c>
    </row>
    <row r="23" customFormat="false" ht="15" hidden="false" customHeight="false" outlineLevel="0" collapsed="false">
      <c r="A23" s="4" t="s">
        <v>42</v>
      </c>
      <c r="B23" s="8" t="n">
        <v>5000</v>
      </c>
    </row>
    <row r="24" customFormat="false" ht="15" hidden="false" customHeight="false" outlineLevel="0" collapsed="false">
      <c r="A24" s="4" t="s">
        <v>43</v>
      </c>
      <c r="B24" s="13" t="n">
        <v>3</v>
      </c>
    </row>
    <row r="25" customFormat="false" ht="15" hidden="false" customHeight="false" outlineLevel="0" collapsed="false">
      <c r="A25" s="4" t="s">
        <v>44</v>
      </c>
      <c r="B25" s="8" t="n">
        <v>3000</v>
      </c>
    </row>
    <row r="26" customFormat="false" ht="15" hidden="false" customHeight="false" outlineLevel="0" collapsed="false">
      <c r="A26" s="4" t="s">
        <v>45</v>
      </c>
      <c r="B26" s="8" t="n">
        <v>2000</v>
      </c>
    </row>
    <row r="27" customFormat="false" ht="15" hidden="false" customHeight="false" outlineLevel="0" collapsed="false">
      <c r="A27" s="4" t="s">
        <v>46</v>
      </c>
      <c r="B27" s="8" t="n">
        <v>250000</v>
      </c>
    </row>
    <row r="28" customFormat="false" ht="15" hidden="false" customHeight="false" outlineLevel="0" collapsed="false">
      <c r="A28" s="4" t="s">
        <v>47</v>
      </c>
      <c r="B28" s="8" t="n">
        <v>10000</v>
      </c>
    </row>
    <row r="29" customFormat="false" ht="15" hidden="false" customHeight="false" outlineLevel="0" collapsed="false">
      <c r="A29" s="4" t="s">
        <v>48</v>
      </c>
      <c r="B29" s="13" t="n">
        <v>10</v>
      </c>
    </row>
    <row r="30" customFormat="false" ht="15" hidden="false" customHeight="false" outlineLevel="0" collapsed="false">
      <c r="A30" s="4" t="s">
        <v>49</v>
      </c>
      <c r="B30" s="8" t="n">
        <v>5000</v>
      </c>
    </row>
    <row r="31" customFormat="false" ht="15" hidden="false" customHeight="false" outlineLevel="0" collapsed="false">
      <c r="A31" s="4" t="s">
        <v>50</v>
      </c>
      <c r="B31" s="8" t="n">
        <v>30000</v>
      </c>
    </row>
    <row r="32" customFormat="false" ht="15" hidden="false" customHeight="false" outlineLevel="0" collapsed="false">
      <c r="A32" s="4" t="s">
        <v>51</v>
      </c>
      <c r="B32" s="10" t="n">
        <v>0.02</v>
      </c>
    </row>
  </sheetData>
  <mergeCells count="3">
    <mergeCell ref="A4:C4"/>
    <mergeCell ref="A15:C15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4" t="s">
        <v>52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</row>
    <row r="3" customFormat="false" ht="15" hidden="false" customHeight="false" outlineLevel="0" collapsed="false">
      <c r="A3" s="0" t="n">
        <v>1</v>
      </c>
      <c r="E3" s="15" t="n">
        <v>0</v>
      </c>
      <c r="F3" s="15" t="n">
        <v>72667</v>
      </c>
      <c r="G3" s="16" t="n">
        <v>-72667</v>
      </c>
    </row>
    <row r="4" customFormat="false" ht="15" hidden="false" customHeight="false" outlineLevel="0" collapsed="false">
      <c r="A4" s="0" t="n">
        <v>2</v>
      </c>
      <c r="E4" s="15" t="n">
        <v>0</v>
      </c>
      <c r="F4" s="15" t="n">
        <v>72667</v>
      </c>
      <c r="G4" s="16" t="n">
        <v>-145334</v>
      </c>
    </row>
    <row r="5" customFormat="false" ht="15" hidden="false" customHeight="false" outlineLevel="0" collapsed="false">
      <c r="A5" s="0" t="n">
        <v>3</v>
      </c>
      <c r="E5" s="15" t="n">
        <v>0</v>
      </c>
      <c r="F5" s="15" t="n">
        <v>72667</v>
      </c>
      <c r="G5" s="16" t="n">
        <v>-218001</v>
      </c>
    </row>
    <row r="6" customFormat="false" ht="15" hidden="false" customHeight="false" outlineLevel="0" collapsed="false">
      <c r="A6" s="17" t="n">
        <v>4</v>
      </c>
      <c r="B6" s="17" t="n">
        <v>1</v>
      </c>
      <c r="C6" s="18" t="n">
        <v>855000</v>
      </c>
      <c r="D6" s="18" t="n">
        <v>1250</v>
      </c>
      <c r="E6" s="18" t="n">
        <v>856250</v>
      </c>
      <c r="F6" s="18" t="n">
        <v>72667</v>
      </c>
      <c r="G6" s="19" t="n">
        <v>565582</v>
      </c>
    </row>
    <row r="7" customFormat="false" ht="15" hidden="false" customHeight="false" outlineLevel="0" collapsed="false">
      <c r="A7" s="0" t="n">
        <v>5</v>
      </c>
      <c r="D7" s="15" t="n">
        <v>1250</v>
      </c>
      <c r="E7" s="15" t="n">
        <v>1250</v>
      </c>
      <c r="F7" s="15" t="n">
        <v>72667</v>
      </c>
      <c r="G7" s="19" t="n">
        <v>494165</v>
      </c>
    </row>
    <row r="8" customFormat="false" ht="15" hidden="false" customHeight="false" outlineLevel="0" collapsed="false">
      <c r="A8" s="0" t="n">
        <v>6</v>
      </c>
      <c r="D8" s="15" t="n">
        <v>1250</v>
      </c>
      <c r="E8" s="15" t="n">
        <v>1250</v>
      </c>
      <c r="F8" s="15" t="n">
        <v>72667</v>
      </c>
      <c r="G8" s="19" t="n">
        <v>422748</v>
      </c>
    </row>
    <row r="9" customFormat="false" ht="15" hidden="false" customHeight="false" outlineLevel="0" collapsed="false">
      <c r="A9" s="0" t="n">
        <v>7</v>
      </c>
      <c r="D9" s="15" t="n">
        <v>1250</v>
      </c>
      <c r="E9" s="15" t="n">
        <v>1250</v>
      </c>
      <c r="F9" s="15" t="n">
        <v>72667</v>
      </c>
      <c r="G9" s="19" t="n">
        <v>351331</v>
      </c>
    </row>
    <row r="10" customFormat="false" ht="15" hidden="false" customHeight="false" outlineLevel="0" collapsed="false">
      <c r="A10" s="0" t="n">
        <v>8</v>
      </c>
      <c r="B10" s="0" t="n">
        <v>1</v>
      </c>
      <c r="C10" s="15" t="n">
        <v>855000</v>
      </c>
      <c r="D10" s="15" t="n">
        <v>2500</v>
      </c>
      <c r="E10" s="15" t="n">
        <v>857500</v>
      </c>
      <c r="F10" s="15" t="n">
        <v>72667</v>
      </c>
      <c r="G10" s="19" t="n">
        <v>1136164</v>
      </c>
    </row>
    <row r="11" customFormat="false" ht="15" hidden="false" customHeight="false" outlineLevel="0" collapsed="false">
      <c r="A11" s="0" t="n">
        <v>9</v>
      </c>
      <c r="D11" s="15" t="n">
        <v>2500</v>
      </c>
      <c r="E11" s="15" t="n">
        <v>2500</v>
      </c>
      <c r="F11" s="15" t="n">
        <v>72667</v>
      </c>
      <c r="G11" s="19" t="n">
        <v>1065997</v>
      </c>
    </row>
    <row r="12" customFormat="false" ht="15" hidden="false" customHeight="false" outlineLevel="0" collapsed="false">
      <c r="A12" s="0" t="n">
        <v>10</v>
      </c>
      <c r="D12" s="15" t="n">
        <v>2500</v>
      </c>
      <c r="E12" s="15" t="n">
        <v>2500</v>
      </c>
      <c r="F12" s="15" t="n">
        <v>72667</v>
      </c>
      <c r="G12" s="19" t="n">
        <v>995830</v>
      </c>
    </row>
    <row r="13" customFormat="false" ht="15" hidden="false" customHeight="false" outlineLevel="0" collapsed="false">
      <c r="A13" s="0" t="n">
        <v>11</v>
      </c>
      <c r="D13" s="15" t="n">
        <v>2500</v>
      </c>
      <c r="E13" s="15" t="n">
        <v>2500</v>
      </c>
      <c r="F13" s="15" t="n">
        <v>72667</v>
      </c>
      <c r="G13" s="19" t="n">
        <v>925663</v>
      </c>
    </row>
    <row r="14" customFormat="false" ht="15" hidden="false" customHeight="false" outlineLevel="0" collapsed="false">
      <c r="A14" s="0" t="n">
        <v>12</v>
      </c>
      <c r="B14" s="0" t="n">
        <v>1</v>
      </c>
      <c r="C14" s="15" t="n">
        <v>855000</v>
      </c>
      <c r="D14" s="15" t="n">
        <v>3750</v>
      </c>
      <c r="E14" s="15" t="n">
        <v>858750</v>
      </c>
      <c r="F14" s="15" t="n">
        <v>72667</v>
      </c>
      <c r="G14" s="19" t="n">
        <v>1711746</v>
      </c>
    </row>
    <row r="15" customFormat="false" ht="15" hidden="false" customHeight="false" outlineLevel="0" collapsed="false">
      <c r="A15" s="0" t="n">
        <v>13</v>
      </c>
      <c r="D15" s="15" t="n">
        <v>3750</v>
      </c>
      <c r="E15" s="15" t="n">
        <v>3750</v>
      </c>
      <c r="F15" s="15" t="n">
        <v>72667</v>
      </c>
      <c r="G15" s="19" t="n">
        <v>1642829</v>
      </c>
    </row>
    <row r="16" customFormat="false" ht="15" hidden="false" customHeight="false" outlineLevel="0" collapsed="false">
      <c r="A16" s="0" t="n">
        <v>14</v>
      </c>
      <c r="B16" s="0" t="n">
        <v>2</v>
      </c>
      <c r="C16" s="15" t="n">
        <v>1710000</v>
      </c>
      <c r="D16" s="15" t="n">
        <v>6250</v>
      </c>
      <c r="E16" s="15" t="n">
        <v>1716250</v>
      </c>
      <c r="F16" s="15" t="n">
        <v>72667</v>
      </c>
      <c r="G16" s="19" t="n">
        <v>3286412</v>
      </c>
    </row>
    <row r="17" customFormat="false" ht="15" hidden="false" customHeight="false" outlineLevel="0" collapsed="false">
      <c r="A17" s="0" t="n">
        <v>15</v>
      </c>
      <c r="D17" s="15" t="n">
        <v>6250</v>
      </c>
      <c r="E17" s="15" t="n">
        <v>6250</v>
      </c>
      <c r="F17" s="15" t="n">
        <v>72667</v>
      </c>
      <c r="G17" s="19" t="n">
        <v>3219995</v>
      </c>
    </row>
    <row r="18" customFormat="false" ht="15" hidden="false" customHeight="false" outlineLevel="0" collapsed="false">
      <c r="A18" s="0" t="n">
        <v>16</v>
      </c>
      <c r="D18" s="15" t="n">
        <v>6250</v>
      </c>
      <c r="E18" s="15" t="n">
        <v>6250</v>
      </c>
      <c r="F18" s="15" t="n">
        <v>72667</v>
      </c>
      <c r="G18" s="19" t="n">
        <v>3153578</v>
      </c>
    </row>
    <row r="19" customFormat="false" ht="15" hidden="false" customHeight="false" outlineLevel="0" collapsed="false">
      <c r="A19" s="0" t="n">
        <v>17</v>
      </c>
      <c r="D19" s="15" t="n">
        <v>6250</v>
      </c>
      <c r="E19" s="15" t="n">
        <v>6250</v>
      </c>
      <c r="F19" s="15" t="n">
        <v>72667</v>
      </c>
      <c r="G19" s="19" t="n">
        <v>3087161</v>
      </c>
    </row>
    <row r="20" customFormat="false" ht="15" hidden="false" customHeight="false" outlineLevel="0" collapsed="false">
      <c r="A20" s="0" t="n">
        <v>18</v>
      </c>
      <c r="B20" s="0" t="n">
        <v>2</v>
      </c>
      <c r="C20" s="15" t="n">
        <v>1710000</v>
      </c>
      <c r="D20" s="15" t="n">
        <v>8750</v>
      </c>
      <c r="E20" s="15" t="n">
        <v>1718750</v>
      </c>
      <c r="F20" s="15" t="n">
        <v>72667</v>
      </c>
      <c r="G20" s="19" t="n">
        <v>4733244</v>
      </c>
    </row>
    <row r="21" customFormat="false" ht="15" hidden="false" customHeight="false" outlineLevel="0" collapsed="false">
      <c r="A21" s="0" t="n">
        <v>19</v>
      </c>
      <c r="D21" s="15" t="n">
        <v>8750</v>
      </c>
      <c r="E21" s="15" t="n">
        <v>8750</v>
      </c>
      <c r="F21" s="15" t="n">
        <v>72667</v>
      </c>
      <c r="G21" s="19" t="n">
        <v>4669327</v>
      </c>
    </row>
    <row r="22" customFormat="false" ht="15" hidden="false" customHeight="false" outlineLevel="0" collapsed="false">
      <c r="A22" s="0" t="n">
        <v>20</v>
      </c>
      <c r="D22" s="15" t="n">
        <v>8750</v>
      </c>
      <c r="E22" s="15" t="n">
        <v>8750</v>
      </c>
      <c r="F22" s="15" t="n">
        <v>72667</v>
      </c>
      <c r="G22" s="19" t="n">
        <v>4605410</v>
      </c>
    </row>
    <row r="23" customFormat="false" ht="15" hidden="false" customHeight="false" outlineLevel="0" collapsed="false">
      <c r="A23" s="0" t="n">
        <v>21</v>
      </c>
      <c r="D23" s="15" t="n">
        <v>8750</v>
      </c>
      <c r="E23" s="15" t="n">
        <v>8750</v>
      </c>
      <c r="F23" s="15" t="n">
        <v>72667</v>
      </c>
      <c r="G23" s="19" t="n">
        <v>4541493</v>
      </c>
    </row>
    <row r="24" customFormat="false" ht="15" hidden="false" customHeight="false" outlineLevel="0" collapsed="false">
      <c r="A24" s="0" t="n">
        <v>22</v>
      </c>
      <c r="B24" s="0" t="n">
        <v>2</v>
      </c>
      <c r="C24" s="15" t="n">
        <v>1710000</v>
      </c>
      <c r="D24" s="15" t="n">
        <v>11250</v>
      </c>
      <c r="E24" s="15" t="n">
        <v>1721250</v>
      </c>
      <c r="F24" s="15" t="n">
        <v>72667</v>
      </c>
      <c r="G24" s="19" t="n">
        <v>6190076</v>
      </c>
    </row>
    <row r="25" customFormat="false" ht="15" hidden="false" customHeight="false" outlineLevel="0" collapsed="false">
      <c r="A25" s="0" t="n">
        <v>23</v>
      </c>
      <c r="D25" s="15" t="n">
        <v>11250</v>
      </c>
      <c r="E25" s="15" t="n">
        <v>11250</v>
      </c>
      <c r="F25" s="15" t="n">
        <v>72667</v>
      </c>
      <c r="G25" s="19" t="n">
        <v>6128659</v>
      </c>
    </row>
    <row r="26" customFormat="false" ht="15" hidden="false" customHeight="false" outlineLevel="0" collapsed="false">
      <c r="A26" s="0" t="n">
        <v>24</v>
      </c>
      <c r="D26" s="15" t="n">
        <v>11250</v>
      </c>
      <c r="E26" s="15" t="n">
        <v>11250</v>
      </c>
      <c r="F26" s="15" t="n">
        <v>72667</v>
      </c>
      <c r="G26" s="19" t="n">
        <v>6067242</v>
      </c>
    </row>
    <row r="28" customFormat="false" ht="15" hidden="false" customHeight="false" outlineLevel="0" collapsed="false">
      <c r="A28" s="20" t="s">
        <v>60</v>
      </c>
      <c r="B28" s="20"/>
      <c r="C28" s="20"/>
      <c r="D28" s="20"/>
      <c r="E28" s="20"/>
      <c r="F28" s="20"/>
      <c r="G28" s="20"/>
    </row>
  </sheetData>
  <mergeCells count="2">
    <mergeCell ref="A1:G1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7" min="5" style="0" width="18"/>
    <col collapsed="false" customWidth="true" hidden="false" outlineLevel="0" max="8" min="8" style="0" width="20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</row>
    <row r="2" customFormat="false" ht="15" hidden="false" customHeight="false" outlineLevel="0" collapsed="false">
      <c r="A2" s="21" t="s">
        <v>71</v>
      </c>
      <c r="B2" s="21" t="s">
        <v>72</v>
      </c>
      <c r="C2" s="21" t="s">
        <v>73</v>
      </c>
      <c r="D2" s="21" t="s">
        <v>74</v>
      </c>
      <c r="E2" s="21" t="s">
        <v>75</v>
      </c>
      <c r="F2" s="21" t="s">
        <v>76</v>
      </c>
      <c r="G2" s="21" t="s">
        <v>77</v>
      </c>
      <c r="H2" s="21" t="s">
        <v>78</v>
      </c>
      <c r="I2" s="21" t="s">
        <v>79</v>
      </c>
      <c r="J2" s="22" t="s">
        <v>80</v>
      </c>
    </row>
    <row r="3" customFormat="false" ht="15" hidden="false" customHeight="false" outlineLevel="0" collapsed="false">
      <c r="A3" s="21" t="s">
        <v>81</v>
      </c>
      <c r="B3" s="21" t="s">
        <v>82</v>
      </c>
      <c r="C3" s="21" t="s">
        <v>83</v>
      </c>
      <c r="D3" s="21" t="s">
        <v>84</v>
      </c>
      <c r="E3" s="21" t="s">
        <v>85</v>
      </c>
      <c r="F3" s="21" t="s">
        <v>86</v>
      </c>
      <c r="G3" s="21" t="s">
        <v>87</v>
      </c>
      <c r="H3" s="21" t="s">
        <v>88</v>
      </c>
      <c r="I3" s="21" t="s">
        <v>89</v>
      </c>
      <c r="J3" s="23" t="s">
        <v>90</v>
      </c>
    </row>
    <row r="4" customFormat="false" ht="15" hidden="false" customHeight="false" outlineLevel="0" collapsed="false">
      <c r="A4" s="21" t="s">
        <v>91</v>
      </c>
      <c r="B4" s="21" t="s">
        <v>92</v>
      </c>
      <c r="C4" s="21" t="s">
        <v>93</v>
      </c>
      <c r="D4" s="21" t="s">
        <v>94</v>
      </c>
      <c r="E4" s="21" t="s">
        <v>95</v>
      </c>
      <c r="F4" s="21" t="s">
        <v>96</v>
      </c>
      <c r="G4" s="21" t="s">
        <v>97</v>
      </c>
      <c r="H4" s="21" t="s">
        <v>98</v>
      </c>
      <c r="I4" s="21" t="s">
        <v>99</v>
      </c>
      <c r="J4" s="24" t="s">
        <v>100</v>
      </c>
    </row>
    <row r="5" customFormat="false" ht="15" hidden="false" customHeight="false" outlineLevel="0" collapsed="false">
      <c r="A5" s="21" t="s">
        <v>101</v>
      </c>
      <c r="B5" s="21" t="s">
        <v>102</v>
      </c>
      <c r="C5" s="21" t="s">
        <v>103</v>
      </c>
      <c r="D5" s="21" t="s">
        <v>104</v>
      </c>
      <c r="E5" s="21" t="s">
        <v>105</v>
      </c>
      <c r="F5" s="21" t="s">
        <v>106</v>
      </c>
      <c r="G5" s="21" t="s">
        <v>21</v>
      </c>
      <c r="H5" s="21" t="s">
        <v>107</v>
      </c>
      <c r="I5" s="21" t="s">
        <v>108</v>
      </c>
      <c r="J5" s="2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2026-06-17T11:09:11Z</dcterms:created>
  <dc:creator>openpyxl</dc:creator>
  <dc:description/>
  <dc:language>en-US</dc:language>
  <cp:lastModifiedBy/>
  <dcterms:modified xsi:type="dcterms:W3CDTF">2026-06-17T11:09:11Z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