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Site Economics" sheetId="3" state="visible" r:id="rId5"/>
    <sheet name="Projections" sheetId="4" state="visible" r:id="rId6"/>
    <sheet name="Funding &amp; Pilo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<sst xmlns="http://schemas.openxmlformats.org/spreadsheetml/2006/main" count="138" uniqueCount="136">
  <si>
    <t xml:space="preserve">ECOGRID RESORT — Financial Model v1 (June 2026)</t>
  </si>
  <si>
    <t xml:space="preserve">All figures unaudited working estimates. Blue = inputs you can change (Assumptions sheet).</t>
  </si>
  <si>
    <t xml:space="preserve">Sites connected by 2035</t>
  </si>
  <si>
    <t xml:space="preserve">Total revenue 2035 (€)</t>
  </si>
  <si>
    <t xml:space="preserve">EBITDA 2035 (€)</t>
  </si>
  <si>
    <t xml:space="preserve">Recurring share of revenue 2035</t>
  </si>
  <si>
    <t xml:space="preserve">First EBITDA-positive year</t>
  </si>
  <si>
    <t xml:space="preserve">Model 2: payback per site (yrs)</t>
  </si>
  <si>
    <t xml:space="preserve">Model 2: income multiple on CAPEX</t>
  </si>
  <si>
    <t xml:space="preserve">Year-1 operating costs (€)</t>
  </si>
  <si>
    <t xml:space="preserve">ECOGRID RESORT — Model Assumptions (all € unless stated)</t>
  </si>
  <si>
    <t xml:space="preserve">A. PER-SITE ECONOMICS (base = Corsica pilot)</t>
  </si>
  <si>
    <t xml:space="preserve">CAPEX, base site (€)</t>
  </si>
  <si>
    <t xml:space="preserve">Source: brain.md §6, central scenario, unaudited — 2 MWc PV, 6 MWh LFP, 30-50 EV chargers</t>
  </si>
  <si>
    <t xml:space="preserve">Annual client savings, base site (€/yr)</t>
  </si>
  <si>
    <t xml:space="preserve">Source: brain.md §6, target, unaudited</t>
  </si>
  <si>
    <t xml:space="preserve">Average site scale factor (× base)</t>
  </si>
  <si>
    <t xml:space="preserve">Set &lt;1 for smaller clients; scales CAPEX &amp; savings</t>
  </si>
  <si>
    <t xml:space="preserve">CAPEX per average site (€)</t>
  </si>
  <si>
    <t xml:space="preserve">Savings per average site (€/yr)</t>
  </si>
  <si>
    <t xml:space="preserve">EPC margin % (Model 1)</t>
  </si>
  <si>
    <t xml:space="preserve">Suggested — to validate with Boris/supplier quotes</t>
  </si>
  <si>
    <t xml:space="preserve">SaaS subscription (€/site/yr)</t>
  </si>
  <si>
    <t xml:space="preserve">Source: Franck, interview 10/06/2026 — updates+support included</t>
  </si>
  <si>
    <t xml:space="preserve">Maintenance contract revenue, Model 1 (€/site/yr)</t>
  </si>
  <si>
    <t xml:space="preserve">Source: Franck — base tier, size-dependent models in progress</t>
  </si>
  <si>
    <t xml:space="preserve">Maintenance cost borne by SmartGrid, Model 2 (€/site/yr)</t>
  </si>
  <si>
    <t xml:space="preserve">Plant owned by SmartGrid (Boris) — assumed = M1 price</t>
  </si>
  <si>
    <t xml:space="preserve">Model 2 savings share — SmartGrid</t>
  </si>
  <si>
    <t xml:space="preserve">Source: Franck 10/06/2026 — base 50%, plan uses 60% (decision 10/06: higher share lever)</t>
  </si>
  <si>
    <t xml:space="preserve">Model 2 contract duration (yrs)</t>
  </si>
  <si>
    <t xml:space="preserve">Decision 10/06/2026: 15-yr contract (was 10-15)</t>
  </si>
  <si>
    <t xml:space="preserve">Public aid, % of Model 2 CAPEX</t>
  </si>
  <si>
    <t xml:space="preserve">Suggested — ZNI/CRE Corsica lever; validate per site &amp; country (ES/IT generic aids closed 2026)</t>
  </si>
  <si>
    <t xml:space="preserve">B. COMPANY RUNNING COSTS</t>
  </si>
  <si>
    <t xml:space="preserve">Shareholders paid (count)</t>
  </si>
  <si>
    <t xml:space="preserve">Franck, Mark, Boris, Pierre, Michael — paid from day 1</t>
  </si>
  <si>
    <t xml:space="preserve">SH compensation (€/month each)</t>
  </si>
  <si>
    <t xml:space="preserve">Staff (count)</t>
  </si>
  <si>
    <t xml:space="preserve">Joseph + secretary + EU grant specialist (planned hires)</t>
  </si>
  <si>
    <t xml:space="preserve">Staff salary (€/month each)</t>
  </si>
  <si>
    <t xml:space="preserve">Office (€/month)</t>
  </si>
  <si>
    <t xml:space="preserve">Software dev + Azure hosting, year 1 (€)</t>
  </si>
  <si>
    <t xml:space="preserve">Software dev + hosting, year 2+ (€/yr)</t>
  </si>
  <si>
    <t xml:space="preserve">Suggested — to confirm</t>
  </si>
  <si>
    <t xml:space="preserve">Marketing (€/month)</t>
  </si>
  <si>
    <t xml:space="preserve">Marketing months in year 1</t>
  </si>
  <si>
    <t xml:space="preserve">Starts month 3</t>
  </si>
  <si>
    <t xml:space="preserve">Travel (€/month)</t>
  </si>
  <si>
    <t xml:space="preserve">Other: insurance, legal, accounting, IP, IT (€/yr)</t>
  </si>
  <si>
    <t xml:space="preserve">Suggested by Claude — incl. décennale check, trademark filing</t>
  </si>
  <si>
    <t xml:space="preserve">Sites per ops technician</t>
  </si>
  <si>
    <t xml:space="preserve">Suggested staffing ratio for O&amp;M scale-up</t>
  </si>
  <si>
    <t xml:space="preserve">Ops technician salary (€/month)</t>
  </si>
  <si>
    <t xml:space="preserve">Inflation (%/yr)</t>
  </si>
  <si>
    <t xml:space="preserve">Land/roof lease term, Model 2 (yrs)</t>
  </si>
  <si>
    <t xml:space="preserve">Per Boris — bail 30 ans, to be contracted</t>
  </si>
  <si>
    <t xml:space="preserve">C. DEPLOYMENT RAMP (new sites signed per year — EDIT THESE)</t>
  </si>
  <si>
    <t xml:space="preserve">Year</t>
  </si>
  <si>
    <t xml:space="preserve">New Model 1 sites (direct sale)</t>
  </si>
  <si>
    <t xml:space="preserve">New Model 2 sites (financed, incl. pilot 2027)</t>
  </si>
  <si>
    <t xml:space="preserve">Ramp aligned with brain.md roadmap: pilot 2027, first contracts 2028, industrialisation 2029-31, 100+ sites by 2035.</t>
  </si>
  <si>
    <t xml:space="preserve">Per-site economics (average site = scale factor × Corsica pilot)</t>
  </si>
  <si>
    <t xml:space="preserve">MODEL 1 — Direct sale (client pays CAPEX)</t>
  </si>
  <si>
    <t xml:space="preserve">Client investment (CAPEX)</t>
  </si>
  <si>
    <t xml:space="preserve">SmartGrid EPC margin (one-time)</t>
  </si>
  <si>
    <t xml:space="preserve">SaaS revenue (€/yr)</t>
  </si>
  <si>
    <t xml:space="preserve">Maintenance revenue (€/yr)</t>
  </si>
  <si>
    <t xml:space="preserve">Recurring revenue per site (€/yr)</t>
  </si>
  <si>
    <t xml:space="preserve">Client keeps 100% of savings (€/yr)</t>
  </si>
  <si>
    <t xml:space="preserve">Client simple payback (yrs)</t>
  </si>
  <si>
    <t xml:space="preserve">MODEL 2 — Financed / revenue share (zero client CAPEX)</t>
  </si>
  <si>
    <t xml:space="preserve">SmartGrid investment (CAPEX)</t>
  </si>
  <si>
    <t xml:space="preserve">Savings share to SmartGrid (€/yr)</t>
  </si>
  <si>
    <t xml:space="preserve">Maintenance cost (€/yr)</t>
  </si>
  <si>
    <t xml:space="preserve">Net annual income to SmartGrid (€/yr)</t>
  </si>
  <si>
    <t xml:space="preserve">Simple payback for SmartGrid (yrs)</t>
  </si>
  <si>
    <t xml:space="preserve">Total income over contract (€)</t>
  </si>
  <si>
    <t xml:space="preserve">Income multiple on CAPEX</t>
  </si>
  <si>
    <t xml:space="preserve">Net CAPEX after public aids</t>
  </si>
  <si>
    <t xml:space="preserve">Payback on net CAPEX (yrs)</t>
  </si>
  <si>
    <t xml:space="preserve">Post-contract tail (yrs, lease − contract)</t>
  </si>
  <si>
    <t xml:space="preserve">Tail income (€/yr, assumed = contract net income)</t>
  </si>
  <si>
    <t xml:space="preserve">Lifetime income over 30-yr lease (€)</t>
  </si>
  <si>
    <t xml:space="preserve">Lifetime multiple on net CAPEX</t>
  </si>
  <si>
    <t xml:space="preserve">Note (10/06/2026): Model 2 structured with 4 levers — 15-yr contract, 60% share, CAPEX net of aids in SPV with green debt, plant retained post-contract until end of 30-yr lease.</t>
  </si>
  <si>
    <t xml:space="preserve">10-year projections (€) — full-year revenue convention on cumulative sites</t>
  </si>
  <si>
    <t xml:space="preserve">DEPLOYMENT</t>
  </si>
  <si>
    <t xml:space="preserve">New Model 1 sites</t>
  </si>
  <si>
    <t xml:space="preserve">New Model 2 sites</t>
  </si>
  <si>
    <t xml:space="preserve">Cumulative Model 1 sites</t>
  </si>
  <si>
    <t xml:space="preserve">Cumulative Model 2 sites</t>
  </si>
  <si>
    <t xml:space="preserve">Total sites connected</t>
  </si>
  <si>
    <t xml:space="preserve">REVENUE</t>
  </si>
  <si>
    <t xml:space="preserve">EPC margin (Model 1, one-time)</t>
  </si>
  <si>
    <t xml:space="preserve">SaaS subscriptions</t>
  </si>
  <si>
    <t xml:space="preserve">Maintenance contracts (Model 1)</t>
  </si>
  <si>
    <t xml:space="preserve">Savings share (Model 2)</t>
  </si>
  <si>
    <t xml:space="preserve">Total revenue</t>
  </si>
  <si>
    <t xml:space="preserve">  of which recurring</t>
  </si>
  <si>
    <t xml:space="preserve">OPERATING COSTS</t>
  </si>
  <si>
    <t xml:space="preserve">Inflation factor</t>
  </si>
  <si>
    <t xml:space="preserve">Salaries — shareholders (5)</t>
  </si>
  <si>
    <t xml:space="preserve">Salaries — staff</t>
  </si>
  <si>
    <t xml:space="preserve">Salaries — ops technicians</t>
  </si>
  <si>
    <t xml:space="preserve">Office</t>
  </si>
  <si>
    <t xml:space="preserve">Software dev + hosting</t>
  </si>
  <si>
    <t xml:space="preserve">Marketing</t>
  </si>
  <si>
    <t xml:space="preserve">Travel</t>
  </si>
  <si>
    <t xml:space="preserve">Other (insurance, legal, IP, IT)</t>
  </si>
  <si>
    <t xml:space="preserve">Maintenance of Model 2 plants</t>
  </si>
  <si>
    <t xml:space="preserve">Total operating costs</t>
  </si>
  <si>
    <t xml:space="preserve">PROFITABILITY</t>
  </si>
  <si>
    <t xml:space="preserve">EBITDA</t>
  </si>
  <si>
    <t xml:space="preserve">EBITDA margin</t>
  </si>
  <si>
    <t xml:space="preserve">CASH (before financing — Model 2 plants funded via SPVs, see Funding)</t>
  </si>
  <si>
    <t xml:space="preserve">Model 2 CAPEX invested (net of aids)</t>
  </si>
  <si>
    <t xml:space="preserve">Cash flow before financing</t>
  </si>
  <si>
    <t xml:space="preserve">Cumulative cash flow</t>
  </si>
  <si>
    <t xml:space="preserve">Pilot funding — Marine de Caprone, Ghisonaccia (Corsica)</t>
  </si>
  <si>
    <t xml:space="preserve">Indicative funding mix (€)</t>
  </si>
  <si>
    <t xml:space="preserve">Equity</t>
  </si>
  <si>
    <t xml:space="preserve">Source: brain.md §6, unaudited central scenario</t>
  </si>
  <si>
    <t xml:space="preserve">Senior green debt</t>
  </si>
  <si>
    <t xml:space="preserve">Public aids / grants</t>
  </si>
  <si>
    <t xml:space="preserve">See aids status — research note 06/2026: ES NextGen &amp; IT Transizione 5.0 closed; FR prime abolished 06/2026; ZNI Corsica guichet = lever n°1</t>
  </si>
  <si>
    <t xml:space="preserve">Leasing</t>
  </si>
  <si>
    <t xml:space="preserve">Total</t>
  </si>
  <si>
    <t xml:space="preserve">Check vs CAPEX base site</t>
  </si>
  <si>
    <t xml:space="preserve">Scale-up structure (brain.md §5): one asset SPV per site or cluster; three investor profiles (EPC industrial, infrastructure/ombrières, financial). Model 2 plant CAPEX sits in SPVs, not on SmartGrid opco P&amp;L.</t>
  </si>
  <si>
    <t xml:space="preserve">Pilot targets (brain.md §6, unaudited)</t>
  </si>
  <si>
    <t xml:space="preserve">Annual gains target (€)</t>
  </si>
  <si>
    <t xml:space="preserve">Payback (yrs)</t>
  </si>
  <si>
    <t xml:space="preserve">6-8</t>
  </si>
  <si>
    <t xml:space="preserve">CO2 avoided</t>
  </si>
  <si>
    <t xml:space="preserve">70-90%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</si>
</sst>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;\(#,##0\);\-"/>
    <numFmt numFmtId="167" formatCode="0.0%"/>
    <numFmt numFmtId="168" formatCode="0.0"/>
    <numFmt numFmtId="169" formatCode="0.0\x"/>
    <numFmt numFmtId="170" formatCode="0.00"/>
    <numFmt numFmtId="171" formatCode="#,##0;\(#,##0\);\-"/>
    <numFmt numFmtId="172" formatCode="0.0\x"/>
    <numFmt numFmtId="173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CDAB8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38C3F"/>
      <rgbColor rgb="FF800080"/>
      <rgbColor rgb="FF3D97AF"/>
      <rgbColor rgb="FFC3BCCF"/>
      <rgbColor rgb="FF808080"/>
      <rgbColor rgb="FF8EA5CA"/>
      <rgbColor rgb="FF903836"/>
      <rgbColor rgb="FFFFFFCC"/>
      <rgbColor rgb="FFD9D9D9"/>
      <rgbColor rgb="FF660066"/>
      <rgbColor rgb="FFCC8F8E"/>
      <rgbColor rgb="FF385F8D"/>
      <rgbColor rgb="FFB6D2DE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CCFF"/>
      <rgbColor rgb="FFB7C3DA"/>
      <rgbColor rgb="FFCCDAB8"/>
      <rgbColor rgb="FFB3C992"/>
      <rgbColor rgb="FF8CBFD2"/>
      <rgbColor rgb="FFF5B089"/>
      <rgbColor rgb="FFDCB7B6"/>
      <rgbColor rgb="FFF6C9B4"/>
      <rgbColor rgb="FF426FA6"/>
      <rgbColor rgb="FF46AAC4"/>
      <rgbColor rgb="FF98B855"/>
      <rgbColor rgb="FF87A44B"/>
      <rgbColor rgb="FFF59240"/>
      <rgbColor rgb="FFDB8238"/>
      <rgbColor rgb="FF6F568D"/>
      <rgbColor rgb="FFA596B9"/>
      <rgbColor rgb="FF878787"/>
      <rgbColor rgb="FF358094"/>
      <rgbColor rgb="FF003300"/>
      <rgbColor rgb="FFB96F30"/>
      <rgbColor rgb="FFBE4B48"/>
      <rgbColor rgb="FFAA433F"/>
      <rgbColor rgb="FF5E4979"/>
      <rgbColor rgb="FF7D5FA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costs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Projections!$A$16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385F8D"/>
            </a:solidFill>
            <a:ln w="12600">
              <a:solidFill>
                <a:srgbClr val="385F8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Projections!$B$16</c:f>
              <c:numCache>
                <c:formatCode>#,##0;\(#,##0\);\-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Projections!$A$30</c:f>
              <c:strCache>
                <c:ptCount val="1"/>
                <c:pt idx="0">
                  <c:v>Total operating costs</c:v>
                </c:pt>
              </c:strCache>
            </c:strRef>
          </c:tx>
          <c:spPr>
            <a:solidFill>
              <a:srgbClr val="903836"/>
            </a:solidFill>
            <a:ln w="12600">
              <a:solidFill>
                <a:srgbClr val="90383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Projections!$C$16</c:f>
              <c:numCache>
                <c:formatCode>#,##0;\(#,##0\);\-</c:formatCode>
                <c:ptCount val="1"/>
                <c:pt idx="0">
                  <c:v>521000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Projections!$A$33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38C3F"/>
            </a:solidFill>
            <a:ln w="12600">
              <a:solidFill>
                <a:srgbClr val="738C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Projections!$D$16</c:f>
              <c:numCache>
                <c:formatCode>#,##0;\(#,##0\);\-</c:formatCode>
                <c:ptCount val="1"/>
                <c:pt idx="0">
                  <c:v>1912000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E4979"/>
            </a:solidFill>
            <a:ln w="12600">
              <a:solidFill>
                <a:srgbClr val="5E497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Projections!$E$16</c:f>
              <c:numCache>
                <c:formatCode>#,##0;\(#,##0\);\-</c:formatCode>
                <c:ptCount val="1"/>
                <c:pt idx="0">
                  <c:v>3839000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58094"/>
            </a:solidFill>
            <a:ln w="12600">
              <a:solidFill>
                <a:srgbClr val="35809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Projections!$F$16</c:f>
              <c:numCache>
                <c:formatCode>#,##0;\(#,##0\);\-</c:formatCode>
                <c:ptCount val="1"/>
                <c:pt idx="0">
                  <c:v>6823000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B96F30"/>
            </a:solidFill>
            <a:ln w="12600">
              <a:solidFill>
                <a:srgbClr val="B96F3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Projections!$G$16</c:f>
              <c:numCache>
                <c:formatCode>#,##0;\(#,##0\);\-</c:formatCode>
                <c:ptCount val="1"/>
                <c:pt idx="0">
                  <c:v>11734000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Projections!$H$16</c:f>
              <c:numCache>
                <c:formatCode>#,##0;\(#,##0\);\-</c:formatCode>
                <c:ptCount val="1"/>
                <c:pt idx="0">
                  <c:v>17717000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Projections!$I$16</c:f>
              <c:numCache>
                <c:formatCode>#,##0;\(#,##0\);\-</c:formatCode>
                <c:ptCount val="1"/>
                <c:pt idx="0">
                  <c:v>24772000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Projections!$J$16</c:f>
              <c:numCache>
                <c:formatCode>#,##0;\(#,##0\);\-</c:formatCode>
                <c:ptCount val="1"/>
                <c:pt idx="0">
                  <c:v>32899000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Projections!$K$16</c:f>
              <c:numCache>
                <c:formatCode>#,##0;\(#,##0\);\-</c:formatCode>
                <c:ptCount val="1"/>
                <c:pt idx="0">
                  <c:v>42098000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Projections!$B$30</c:f>
              <c:numCache>
                <c:formatCode>#,##0;\(#,##0\);\-</c:formatCode>
                <c:ptCount val="1"/>
                <c:pt idx="0">
                  <c:v>872000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Projections!$C$30</c:f>
              <c:numCache>
                <c:formatCode>#,##0;\(#,##0\);\-</c:formatCode>
                <c:ptCount val="1"/>
                <c:pt idx="0">
                  <c:v>854760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Projections!$D$30</c:f>
              <c:numCache>
                <c:formatCode>#,##0;\(#,##0\);\-</c:formatCode>
                <c:ptCount val="1"/>
                <c:pt idx="0">
                  <c:v>882259.2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Projections!$E$30</c:f>
              <c:numCache>
                <c:formatCode>#,##0;\(#,##0\);\-</c:formatCode>
                <c:ptCount val="1"/>
                <c:pt idx="0">
                  <c:v>959332.032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Projections!$F$30</c:f>
              <c:numCache>
                <c:formatCode>#,##0;\(#,##0\);\-</c:formatCode>
                <c:ptCount val="1"/>
                <c:pt idx="0">
                  <c:v>1060783.5168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Projections!$G$30</c:f>
              <c:numCache>
                <c:formatCode>#,##0;\(#,##0\);\-</c:formatCode>
                <c:ptCount val="1"/>
                <c:pt idx="0">
                  <c:v>1227737.8531584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46AAC4"/>
            </a:solidFill>
            <a:ln w="1260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Projections!$H$30</c:f>
              <c:numCache>
                <c:formatCode>#,##0;\(#,##0\);\-</c:formatCode>
                <c:ptCount val="1"/>
                <c:pt idx="0">
                  <c:v>1464011.1450432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F59240"/>
            </a:solidFill>
            <a:ln w="1260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Projections!$I$30</c:f>
              <c:numCache>
                <c:formatCode>#,##0;\(#,##0\);\-</c:formatCode>
                <c:ptCount val="1"/>
                <c:pt idx="0">
                  <c:v>1773570.67085049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Projections!$J$30</c:f>
              <c:numCache>
                <c:formatCode>#,##0;\(#,##0\);\-</c:formatCode>
                <c:ptCount val="1"/>
                <c:pt idx="0">
                  <c:v>2160539.89856818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Projections!$K$30</c:f>
              <c:numCache>
                <c:formatCode>#,##0;\(#,##0\);\-</c:formatCode>
                <c:ptCount val="1"/>
                <c:pt idx="0">
                  <c:v>2586180.31849868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Projections!$B$33</c:f>
              <c:numCache>
                <c:formatCode>#,##0;\(#,##0\);\-</c:formatCode>
                <c:ptCount val="1"/>
                <c:pt idx="0">
                  <c:v>-872000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Projections!$C$33</c:f>
              <c:numCache>
                <c:formatCode>#,##0;\(#,##0\);\-</c:formatCode>
                <c:ptCount val="1"/>
                <c:pt idx="0">
                  <c:v>-333760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8CBFD2"/>
            </a:solidFill>
            <a:ln w="1260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Projections!$D$33</c:f>
              <c:numCache>
                <c:formatCode>#,##0;\(#,##0\);\-</c:formatCode>
                <c:ptCount val="1"/>
                <c:pt idx="0">
                  <c:v>1029740.8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F5B089"/>
            </a:solidFill>
            <a:ln w="1260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Projections!$E$33</c:f>
              <c:numCache>
                <c:formatCode>#,##0;\(#,##0\);\-</c:formatCode>
                <c:ptCount val="1"/>
                <c:pt idx="0">
                  <c:v>2879667.968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B7C3DA"/>
            </a:solidFill>
            <a:ln w="12600">
              <a:solidFill>
                <a:srgbClr val="B7C3D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Projections!$F$33</c:f>
              <c:numCache>
                <c:formatCode>#,##0;\(#,##0\);\-</c:formatCode>
                <c:ptCount val="1"/>
                <c:pt idx="0">
                  <c:v>5762216.4832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DCB7B6"/>
            </a:solidFill>
            <a:ln w="12600">
              <a:solidFill>
                <a:srgbClr val="DCB7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Projections!$G$33</c:f>
              <c:numCache>
                <c:formatCode>#,##0;\(#,##0\);\-</c:formatCode>
                <c:ptCount val="1"/>
                <c:pt idx="0">
                  <c:v>10506262.1468416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CCDAB8"/>
            </a:solidFill>
            <a:ln w="12600">
              <a:solidFill>
                <a:srgbClr val="CCDAB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Projections!$H$33</c:f>
              <c:numCache>
                <c:formatCode>#,##0;\(#,##0\);\-</c:formatCode>
                <c:ptCount val="1"/>
                <c:pt idx="0">
                  <c:v>16252988.8549568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C3BCCF"/>
            </a:solidFill>
            <a:ln w="12600">
              <a:solidFill>
                <a:srgbClr val="C3BCC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Projections!$I$33</c:f>
              <c:numCache>
                <c:formatCode>#,##0;\(#,##0\);\-</c:formatCode>
                <c:ptCount val="1"/>
                <c:pt idx="0">
                  <c:v>22998429.3291495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B6D2DE"/>
            </a:solidFill>
            <a:ln w="12600">
              <a:solidFill>
                <a:srgbClr val="B6D2D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Projections!$J$33</c:f>
              <c:numCache>
                <c:formatCode>#,##0;\(#,##0\);\-</c:formatCode>
                <c:ptCount val="1"/>
                <c:pt idx="0">
                  <c:v>30738460.1014318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F6C9B4"/>
            </a:solidFill>
            <a:ln w="12600">
              <a:solidFill>
                <a:srgbClr val="F6C9B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Projections!$B$3:$K$3</c:f>
              <c:strCach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strCache>
            </c:strRef>
          </c:cat>
          <c:val>
            <c:numRef>
              <c:f>Projections!$K$33</c:f>
              <c:numCache>
                <c:formatCode>#,##0;\(#,##0\);\-</c:formatCode>
                <c:ptCount val="1"/>
                <c:pt idx="0">
                  <c:v>39511819.6815013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927659"/>
        <c:axId val="24477900"/>
      </c:lineChart>
      <c:catAx>
        <c:axId val="84927659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477900"/>
        <c:crosses val="autoZero"/>
        <c:auto val="1"/>
        <c:lblAlgn val="ctr"/>
        <c:lblOffset val="100"/>
        <c:noMultiLvlLbl val="0"/>
      </c:catAx>
      <c:valAx>
        <c:axId val="24477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9276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41</xdr:row>
      <xdr:rowOff>0</xdr:rowOff>
    </xdr:from>
    <xdr:to>
      <xdr:col>10</xdr:col>
      <xdr:colOff>392400</xdr:colOff>
      <xdr:row>56</xdr:row>
      <xdr:rowOff>21960</xdr:rowOff>
    </xdr:to>
    <xdr:graphicFrame>
      <xdr:nvGraphicFramePr>
        <xdr:cNvPr id="1" name="Chart 1"/>
        <xdr:cNvGraphicFramePr/>
      </xdr:nvGraphicFramePr>
      <xdr:xfrm>
        <a:off x="2960280" y="7648560"/>
        <a:ext cx="863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f aca="false">Projections!K9</f>
        <v>109</v>
      </c>
    </row>
    <row r="5" customFormat="false" ht="15" hidden="false" customHeight="true" outlineLevel="0" collapsed="false">
      <c r="A5" s="4" t="s">
        <v>3</v>
      </c>
      <c r="B5" s="6" t="n">
        <f aca="false">Projections!K16</f>
        <v>42098000</v>
      </c>
    </row>
    <row r="6" customFormat="false" ht="15" hidden="false" customHeight="true" outlineLevel="0" collapsed="false">
      <c r="A6" s="4" t="s">
        <v>4</v>
      </c>
      <c r="B6" s="6" t="n">
        <f aca="false">Projections!K33</f>
        <v>39511819.6815013</v>
      </c>
    </row>
    <row r="7" customFormat="false" ht="15" hidden="false" customHeight="true" outlineLevel="0" collapsed="false">
      <c r="A7" s="4" t="s">
        <v>5</v>
      </c>
      <c r="B7" s="7" t="n">
        <f aca="false">Projections!K17</f>
        <v>0.735973205377928</v>
      </c>
    </row>
    <row r="8" customFormat="false" ht="15" hidden="false" customHeight="true" outlineLevel="0" collapsed="false">
      <c r="A8" s="4" t="s">
        <v>6</v>
      </c>
      <c r="B8" s="5" t="n">
        <f aca="false">INDEX(Projections!B3:K3,MATCH(TRUE(),INDEX(Projections!B33:K33&gt;0,0),0))</f>
        <v>2028</v>
      </c>
    </row>
    <row r="9" customFormat="false" ht="15" hidden="false" customHeight="true" outlineLevel="0" collapsed="false">
      <c r="A9" s="4" t="s">
        <v>7</v>
      </c>
      <c r="B9" s="8" t="n">
        <f aca="false">'Site Economics'!B18</f>
        <v>11.1545988258317</v>
      </c>
    </row>
    <row r="10" customFormat="false" ht="15" hidden="false" customHeight="true" outlineLevel="0" collapsed="false">
      <c r="A10" s="4" t="s">
        <v>8</v>
      </c>
      <c r="B10" s="9" t="n">
        <f aca="false">'Site Economics'!B20</f>
        <v>1.34473684210526</v>
      </c>
    </row>
    <row r="11" customFormat="false" ht="15" hidden="false" customHeight="true" outlineLevel="0" collapsed="false">
      <c r="A11" s="4" t="s">
        <v>9</v>
      </c>
      <c r="B11" s="6" t="n">
        <f aca="false">Projections!B30</f>
        <v>872000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10</v>
      </c>
    </row>
    <row r="3" customFormat="false" ht="15" hidden="false" customHeight="true" outlineLevel="0" collapsed="false">
      <c r="A3" s="10" t="s">
        <v>11</v>
      </c>
      <c r="B3" s="11"/>
      <c r="C3" s="11"/>
    </row>
    <row r="4" customFormat="false" ht="15" hidden="false" customHeight="true" outlineLevel="0" collapsed="false">
      <c r="A4" s="4" t="s">
        <v>12</v>
      </c>
      <c r="B4" s="12" t="n">
        <v>5700000</v>
      </c>
      <c r="C4" s="3" t="s">
        <v>13</v>
      </c>
    </row>
    <row r="5" customFormat="false" ht="15" hidden="false" customHeight="true" outlineLevel="0" collapsed="false">
      <c r="A5" s="4" t="s">
        <v>14</v>
      </c>
      <c r="B5" s="12" t="n">
        <v>860000</v>
      </c>
      <c r="C5" s="3" t="s">
        <v>15</v>
      </c>
    </row>
    <row r="6" customFormat="false" ht="15" hidden="false" customHeight="true" outlineLevel="0" collapsed="false">
      <c r="A6" s="4" t="s">
        <v>16</v>
      </c>
      <c r="B6" s="13" t="n">
        <v>1</v>
      </c>
      <c r="C6" s="3" t="s">
        <v>17</v>
      </c>
    </row>
    <row r="7" customFormat="false" ht="15" hidden="false" customHeight="true" outlineLevel="0" collapsed="false">
      <c r="A7" s="4" t="s">
        <v>18</v>
      </c>
      <c r="B7" s="14" t="n">
        <f aca="false">B4*B6</f>
        <v>5700000</v>
      </c>
    </row>
    <row r="8" customFormat="false" ht="15" hidden="false" customHeight="true" outlineLevel="0" collapsed="false">
      <c r="A8" s="4" t="s">
        <v>19</v>
      </c>
      <c r="B8" s="14" t="n">
        <f aca="false">B5*B6</f>
        <v>860000</v>
      </c>
    </row>
    <row r="9" customFormat="false" ht="15" hidden="false" customHeight="true" outlineLevel="0" collapsed="false">
      <c r="A9" s="4" t="s">
        <v>20</v>
      </c>
      <c r="B9" s="15" t="n">
        <v>0.15</v>
      </c>
      <c r="C9" s="3" t="s">
        <v>21</v>
      </c>
    </row>
    <row r="10" customFormat="false" ht="15" hidden="false" customHeight="true" outlineLevel="0" collapsed="false">
      <c r="A10" s="4" t="s">
        <v>22</v>
      </c>
      <c r="B10" s="12" t="n">
        <v>5000</v>
      </c>
      <c r="C10" s="3" t="s">
        <v>23</v>
      </c>
    </row>
    <row r="11" customFormat="false" ht="15" hidden="false" customHeight="true" outlineLevel="0" collapsed="false">
      <c r="A11" s="4" t="s">
        <v>24</v>
      </c>
      <c r="B11" s="12" t="n">
        <v>10000</v>
      </c>
      <c r="C11" s="3" t="s">
        <v>25</v>
      </c>
    </row>
    <row r="12" customFormat="false" ht="15" hidden="false" customHeight="true" outlineLevel="0" collapsed="false">
      <c r="A12" s="4" t="s">
        <v>26</v>
      </c>
      <c r="B12" s="12" t="n">
        <v>10000</v>
      </c>
      <c r="C12" s="3" t="s">
        <v>27</v>
      </c>
    </row>
    <row r="13" customFormat="false" ht="15" hidden="false" customHeight="true" outlineLevel="0" collapsed="false">
      <c r="A13" s="4" t="s">
        <v>28</v>
      </c>
      <c r="B13" s="16" t="n">
        <v>0.6</v>
      </c>
      <c r="C13" s="3" t="s">
        <v>29</v>
      </c>
    </row>
    <row r="14" customFormat="false" ht="15" hidden="false" customHeight="true" outlineLevel="0" collapsed="false">
      <c r="A14" s="4" t="s">
        <v>30</v>
      </c>
      <c r="B14" s="17" t="n">
        <v>15</v>
      </c>
      <c r="C14" s="3" t="s">
        <v>31</v>
      </c>
    </row>
    <row r="15" customFormat="false" ht="15" hidden="false" customHeight="false" outlineLevel="0" collapsed="false">
      <c r="A15" s="1" t="s">
        <v>32</v>
      </c>
      <c r="B15" s="18" t="n">
        <v>0.15</v>
      </c>
      <c r="C15" s="19" t="s">
        <v>33</v>
      </c>
    </row>
    <row r="16" customFormat="false" ht="15" hidden="false" customHeight="true" outlineLevel="0" collapsed="false">
      <c r="A16" s="10" t="s">
        <v>34</v>
      </c>
      <c r="B16" s="11"/>
      <c r="C16" s="11"/>
    </row>
    <row r="17" customFormat="false" ht="15" hidden="false" customHeight="true" outlineLevel="0" collapsed="false">
      <c r="A17" s="4" t="s">
        <v>35</v>
      </c>
      <c r="B17" s="20" t="n">
        <v>5</v>
      </c>
      <c r="C17" s="3" t="s">
        <v>36</v>
      </c>
    </row>
    <row r="18" customFormat="false" ht="15" hidden="false" customHeight="true" outlineLevel="0" collapsed="false">
      <c r="A18" s="4" t="s">
        <v>37</v>
      </c>
      <c r="B18" s="12" t="n">
        <v>5000</v>
      </c>
    </row>
    <row r="19" customFormat="false" ht="15" hidden="false" customHeight="true" outlineLevel="0" collapsed="false">
      <c r="A19" s="4" t="s">
        <v>38</v>
      </c>
      <c r="B19" s="20" t="n">
        <v>3</v>
      </c>
      <c r="C19" s="3" t="s">
        <v>39</v>
      </c>
    </row>
    <row r="20" customFormat="false" ht="15" hidden="false" customHeight="true" outlineLevel="0" collapsed="false">
      <c r="A20" s="4" t="s">
        <v>40</v>
      </c>
      <c r="B20" s="12" t="n">
        <v>3000</v>
      </c>
    </row>
    <row r="21" customFormat="false" ht="15" hidden="false" customHeight="true" outlineLevel="0" collapsed="false">
      <c r="A21" s="4" t="s">
        <v>41</v>
      </c>
      <c r="B21" s="12" t="n">
        <v>2000</v>
      </c>
    </row>
    <row r="22" customFormat="false" ht="15" hidden="false" customHeight="true" outlineLevel="0" collapsed="false">
      <c r="A22" s="4" t="s">
        <v>42</v>
      </c>
      <c r="B22" s="12" t="n">
        <v>250000</v>
      </c>
    </row>
    <row r="23" customFormat="false" ht="15" hidden="false" customHeight="true" outlineLevel="0" collapsed="false">
      <c r="A23" s="4" t="s">
        <v>43</v>
      </c>
      <c r="B23" s="21" t="n">
        <v>150000</v>
      </c>
      <c r="C23" s="3" t="s">
        <v>44</v>
      </c>
    </row>
    <row r="24" customFormat="false" ht="15" hidden="false" customHeight="true" outlineLevel="0" collapsed="false">
      <c r="A24" s="4" t="s">
        <v>45</v>
      </c>
      <c r="B24" s="12" t="n">
        <v>10000</v>
      </c>
    </row>
    <row r="25" customFormat="false" ht="15" hidden="false" customHeight="true" outlineLevel="0" collapsed="false">
      <c r="A25" s="4" t="s">
        <v>46</v>
      </c>
      <c r="B25" s="20" t="n">
        <v>10</v>
      </c>
      <c r="C25" s="3" t="s">
        <v>47</v>
      </c>
    </row>
    <row r="26" customFormat="false" ht="15" hidden="false" customHeight="true" outlineLevel="0" collapsed="false">
      <c r="A26" s="4" t="s">
        <v>48</v>
      </c>
      <c r="B26" s="12" t="n">
        <v>5000</v>
      </c>
    </row>
    <row r="27" customFormat="false" ht="15" hidden="false" customHeight="true" outlineLevel="0" collapsed="false">
      <c r="A27" s="4" t="s">
        <v>49</v>
      </c>
      <c r="B27" s="21" t="n">
        <v>30000</v>
      </c>
      <c r="C27" s="3" t="s">
        <v>50</v>
      </c>
    </row>
    <row r="28" customFormat="false" ht="15" hidden="false" customHeight="true" outlineLevel="0" collapsed="false">
      <c r="A28" s="4" t="s">
        <v>51</v>
      </c>
      <c r="B28" s="17" t="n">
        <v>5</v>
      </c>
      <c r="C28" s="3" t="s">
        <v>52</v>
      </c>
    </row>
    <row r="29" customFormat="false" ht="15" hidden="false" customHeight="true" outlineLevel="0" collapsed="false">
      <c r="A29" s="4" t="s">
        <v>53</v>
      </c>
      <c r="B29" s="12" t="n">
        <v>3000</v>
      </c>
    </row>
    <row r="30" customFormat="false" ht="15" hidden="false" customHeight="true" outlineLevel="0" collapsed="false">
      <c r="A30" s="4" t="s">
        <v>54</v>
      </c>
      <c r="B30" s="16" t="n">
        <v>0.02</v>
      </c>
    </row>
    <row r="31" customFormat="false" ht="15" hidden="false" customHeight="false" outlineLevel="0" collapsed="false">
      <c r="A31" s="1" t="s">
        <v>55</v>
      </c>
      <c r="B31" s="22" t="n">
        <v>30</v>
      </c>
      <c r="C31" s="19" t="s">
        <v>56</v>
      </c>
    </row>
    <row r="32" customFormat="false" ht="15" hidden="false" customHeight="true" outlineLevel="0" collapsed="false">
      <c r="A32" s="10" t="s">
        <v>57</v>
      </c>
      <c r="B32" s="11"/>
      <c r="C32" s="11"/>
    </row>
    <row r="33" customFormat="false" ht="15" hidden="false" customHeight="true" outlineLevel="0" collapsed="false">
      <c r="A33" s="23" t="s">
        <v>58</v>
      </c>
      <c r="B33" s="24" t="n">
        <v>2026</v>
      </c>
      <c r="C33" s="24" t="n">
        <v>2027</v>
      </c>
      <c r="D33" s="24" t="n">
        <v>2028</v>
      </c>
      <c r="E33" s="24" t="n">
        <v>2029</v>
      </c>
      <c r="F33" s="24" t="n">
        <v>2030</v>
      </c>
      <c r="G33" s="24" t="n">
        <v>2031</v>
      </c>
      <c r="H33" s="24" t="n">
        <v>2032</v>
      </c>
      <c r="I33" s="24" t="n">
        <v>2033</v>
      </c>
      <c r="J33" s="24" t="n">
        <v>2034</v>
      </c>
      <c r="K33" s="24" t="n">
        <v>2035</v>
      </c>
    </row>
    <row r="34" customFormat="false" ht="15" hidden="false" customHeight="true" outlineLevel="0" collapsed="false">
      <c r="A34" s="1" t="s">
        <v>59</v>
      </c>
      <c r="B34" s="20" t="n">
        <v>0</v>
      </c>
      <c r="C34" s="20" t="n">
        <v>0</v>
      </c>
      <c r="D34" s="20" t="n">
        <v>1</v>
      </c>
      <c r="E34" s="20" t="n">
        <v>2</v>
      </c>
      <c r="F34" s="20" t="n">
        <v>3</v>
      </c>
      <c r="G34" s="20" t="n">
        <v>5</v>
      </c>
      <c r="H34" s="20" t="n">
        <v>7</v>
      </c>
      <c r="I34" s="20" t="n">
        <v>9</v>
      </c>
      <c r="J34" s="20" t="n">
        <v>11</v>
      </c>
      <c r="K34" s="20" t="n">
        <v>13</v>
      </c>
    </row>
    <row r="35" customFormat="false" ht="15" hidden="false" customHeight="true" outlineLevel="0" collapsed="false">
      <c r="A35" s="1" t="s">
        <v>60</v>
      </c>
      <c r="B35" s="20" t="n">
        <v>0</v>
      </c>
      <c r="C35" s="20" t="n">
        <v>1</v>
      </c>
      <c r="D35" s="20" t="n">
        <v>1</v>
      </c>
      <c r="E35" s="20" t="n">
        <v>2</v>
      </c>
      <c r="F35" s="20" t="n">
        <v>4</v>
      </c>
      <c r="G35" s="20" t="n">
        <v>6</v>
      </c>
      <c r="H35" s="20" t="n">
        <v>8</v>
      </c>
      <c r="I35" s="20" t="n">
        <v>10</v>
      </c>
      <c r="J35" s="20" t="n">
        <v>12</v>
      </c>
      <c r="K35" s="20" t="n">
        <v>14</v>
      </c>
    </row>
    <row r="37" customFormat="false" ht="15" hidden="false" customHeight="true" outlineLevel="0" collapsed="false">
      <c r="A37" s="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62</v>
      </c>
    </row>
    <row r="3" customFormat="false" ht="15" hidden="false" customHeight="true" outlineLevel="0" collapsed="false">
      <c r="A3" s="10" t="s">
        <v>63</v>
      </c>
      <c r="B3" s="11"/>
    </row>
    <row r="4" customFormat="false" ht="15" hidden="false" customHeight="true" outlineLevel="0" collapsed="false">
      <c r="A4" s="4" t="s">
        <v>64</v>
      </c>
      <c r="B4" s="6" t="n">
        <f aca="false">Assumptions!B7</f>
        <v>5700000</v>
      </c>
    </row>
    <row r="5" customFormat="false" ht="15" hidden="false" customHeight="true" outlineLevel="0" collapsed="false">
      <c r="A5" s="4" t="s">
        <v>65</v>
      </c>
      <c r="B5" s="14" t="n">
        <f aca="false">Assumptions!B7*Assumptions!B9</f>
        <v>855000</v>
      </c>
    </row>
    <row r="6" customFormat="false" ht="15" hidden="false" customHeight="true" outlineLevel="0" collapsed="false">
      <c r="A6" s="4" t="s">
        <v>66</v>
      </c>
      <c r="B6" s="6" t="n">
        <f aca="false">Assumptions!B10</f>
        <v>5000</v>
      </c>
    </row>
    <row r="7" customFormat="false" ht="15" hidden="false" customHeight="true" outlineLevel="0" collapsed="false">
      <c r="A7" s="4" t="s">
        <v>67</v>
      </c>
      <c r="B7" s="6" t="n">
        <f aca="false">Assumptions!B11</f>
        <v>10000</v>
      </c>
    </row>
    <row r="8" customFormat="false" ht="15" hidden="false" customHeight="true" outlineLevel="0" collapsed="false">
      <c r="A8" s="4" t="s">
        <v>68</v>
      </c>
      <c r="B8" s="14" t="n">
        <f aca="false">B6+B7</f>
        <v>15000</v>
      </c>
    </row>
    <row r="9" customFormat="false" ht="15" hidden="false" customHeight="true" outlineLevel="0" collapsed="false">
      <c r="A9" s="4" t="s">
        <v>69</v>
      </c>
      <c r="B9" s="6" t="n">
        <f aca="false">Assumptions!B8</f>
        <v>860000</v>
      </c>
    </row>
    <row r="10" customFormat="false" ht="15" hidden="false" customHeight="true" outlineLevel="0" collapsed="false">
      <c r="A10" s="4" t="s">
        <v>70</v>
      </c>
      <c r="B10" s="25" t="n">
        <f aca="false">B4/(B9-B6-B7)</f>
        <v>6.74556213017752</v>
      </c>
    </row>
    <row r="12" customFormat="false" ht="15" hidden="false" customHeight="true" outlineLevel="0" collapsed="false">
      <c r="A12" s="10" t="s">
        <v>71</v>
      </c>
      <c r="B12" s="11"/>
    </row>
    <row r="13" customFormat="false" ht="15" hidden="false" customHeight="true" outlineLevel="0" collapsed="false">
      <c r="A13" s="4" t="s">
        <v>72</v>
      </c>
      <c r="B13" s="6" t="n">
        <f aca="false">Assumptions!B7</f>
        <v>5700000</v>
      </c>
    </row>
    <row r="14" customFormat="false" ht="15" hidden="false" customHeight="true" outlineLevel="0" collapsed="false">
      <c r="A14" s="4" t="s">
        <v>73</v>
      </c>
      <c r="B14" s="14" t="n">
        <f aca="false">Assumptions!B8*Assumptions!B13</f>
        <v>516000</v>
      </c>
    </row>
    <row r="15" customFormat="false" ht="15" hidden="false" customHeight="true" outlineLevel="0" collapsed="false">
      <c r="A15" s="4" t="s">
        <v>66</v>
      </c>
      <c r="B15" s="6" t="n">
        <f aca="false">Assumptions!B10</f>
        <v>5000</v>
      </c>
    </row>
    <row r="16" customFormat="false" ht="15" hidden="false" customHeight="true" outlineLevel="0" collapsed="false">
      <c r="A16" s="4" t="s">
        <v>74</v>
      </c>
      <c r="B16" s="14" t="n">
        <f aca="false">-Assumptions!B12</f>
        <v>-10000</v>
      </c>
    </row>
    <row r="17" customFormat="false" ht="15" hidden="false" customHeight="true" outlineLevel="0" collapsed="false">
      <c r="A17" s="4" t="s">
        <v>75</v>
      </c>
      <c r="B17" s="14" t="n">
        <f aca="false">B14+B15+B16</f>
        <v>511000</v>
      </c>
    </row>
    <row r="18" customFormat="false" ht="15" hidden="false" customHeight="true" outlineLevel="0" collapsed="false">
      <c r="A18" s="4" t="s">
        <v>76</v>
      </c>
      <c r="B18" s="25" t="n">
        <f aca="false">B13/B17</f>
        <v>11.1545988258317</v>
      </c>
    </row>
    <row r="19" customFormat="false" ht="15" hidden="false" customHeight="true" outlineLevel="0" collapsed="false">
      <c r="A19" s="4" t="s">
        <v>77</v>
      </c>
      <c r="B19" s="14" t="n">
        <f aca="false">B17*Assumptions!B14</f>
        <v>7665000</v>
      </c>
    </row>
    <row r="20" customFormat="false" ht="15" hidden="false" customHeight="true" outlineLevel="0" collapsed="false">
      <c r="A20" s="4" t="s">
        <v>78</v>
      </c>
      <c r="B20" s="26" t="n">
        <f aca="false">B19/B13</f>
        <v>1.34473684210526</v>
      </c>
    </row>
    <row r="21" customFormat="false" ht="15" hidden="false" customHeight="false" outlineLevel="0" collapsed="false">
      <c r="A21" s="1" t="s">
        <v>79</v>
      </c>
      <c r="B21" s="27" t="n">
        <f aca="false">B13*(1-Assumptions!B15)</f>
        <v>4845000</v>
      </c>
    </row>
    <row r="22" customFormat="false" ht="15" hidden="false" customHeight="true" outlineLevel="0" collapsed="false">
      <c r="A22" s="3" t="s">
        <v>80</v>
      </c>
      <c r="B22" s="28" t="n">
        <f aca="false">B21/B17</f>
        <v>9.48140900195695</v>
      </c>
    </row>
    <row r="23" customFormat="false" ht="15" hidden="false" customHeight="false" outlineLevel="0" collapsed="false">
      <c r="A23" s="1" t="s">
        <v>81</v>
      </c>
      <c r="B23" s="29" t="n">
        <f aca="false">Assumptions!B31-Assumptions!B14</f>
        <v>15</v>
      </c>
    </row>
    <row r="24" customFormat="false" ht="15" hidden="false" customHeight="false" outlineLevel="0" collapsed="false">
      <c r="A24" s="1" t="s">
        <v>82</v>
      </c>
      <c r="B24" s="27" t="n">
        <f aca="false">B17</f>
        <v>511000</v>
      </c>
    </row>
    <row r="25" customFormat="false" ht="15" hidden="false" customHeight="false" outlineLevel="0" collapsed="false">
      <c r="A25" s="1" t="s">
        <v>83</v>
      </c>
      <c r="B25" s="27" t="n">
        <f aca="false">B17*Assumptions!B14+B24*B23</f>
        <v>15330000</v>
      </c>
    </row>
    <row r="26" customFormat="false" ht="15" hidden="false" customHeight="false" outlineLevel="0" collapsed="false">
      <c r="A26" s="1" t="s">
        <v>84</v>
      </c>
      <c r="B26" s="30" t="n">
        <f aca="false">B25/B21</f>
        <v>3.1640866873065</v>
      </c>
    </row>
    <row r="28" customFormat="false" ht="15" hidden="false" customHeight="false" outlineLevel="0" collapsed="false">
      <c r="A28" s="19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1" min="2" style="1" width="13"/>
  </cols>
  <sheetData>
    <row r="1" customFormat="false" ht="17.25" hidden="false" customHeight="true" outlineLevel="0" collapsed="false">
      <c r="A1" s="2" t="s">
        <v>86</v>
      </c>
    </row>
    <row r="3" customFormat="false" ht="15" hidden="false" customHeight="true" outlineLevel="0" collapsed="false">
      <c r="A3" s="23" t="s">
        <v>58</v>
      </c>
      <c r="B3" s="31" t="n">
        <v>2026</v>
      </c>
      <c r="C3" s="31" t="n">
        <v>2027</v>
      </c>
      <c r="D3" s="31" t="n">
        <v>2028</v>
      </c>
      <c r="E3" s="31" t="n">
        <v>2029</v>
      </c>
      <c r="F3" s="31" t="n">
        <v>2030</v>
      </c>
      <c r="G3" s="31" t="n">
        <v>2031</v>
      </c>
      <c r="H3" s="31" t="n">
        <v>2032</v>
      </c>
      <c r="I3" s="31" t="n">
        <v>2033</v>
      </c>
      <c r="J3" s="31" t="n">
        <v>2034</v>
      </c>
      <c r="K3" s="31" t="n">
        <v>2035</v>
      </c>
    </row>
    <row r="4" customFormat="false" ht="15" hidden="false" customHeight="true" outlineLevel="0" collapsed="false">
      <c r="A4" s="32" t="s">
        <v>87</v>
      </c>
    </row>
    <row r="5" customFormat="false" ht="15" hidden="false" customHeight="true" outlineLevel="0" collapsed="false">
      <c r="A5" s="33" t="s">
        <v>88</v>
      </c>
      <c r="B5" s="5" t="n">
        <f aca="false">Assumptions!B34</f>
        <v>0</v>
      </c>
      <c r="C5" s="5" t="n">
        <f aca="false">Assumptions!C34</f>
        <v>0</v>
      </c>
      <c r="D5" s="5" t="n">
        <f aca="false">Assumptions!D34</f>
        <v>1</v>
      </c>
      <c r="E5" s="5" t="n">
        <f aca="false">Assumptions!E34</f>
        <v>2</v>
      </c>
      <c r="F5" s="5" t="n">
        <f aca="false">Assumptions!F34</f>
        <v>3</v>
      </c>
      <c r="G5" s="5" t="n">
        <f aca="false">Assumptions!G34</f>
        <v>5</v>
      </c>
      <c r="H5" s="5" t="n">
        <f aca="false">Assumptions!H34</f>
        <v>7</v>
      </c>
      <c r="I5" s="5" t="n">
        <f aca="false">Assumptions!I34</f>
        <v>9</v>
      </c>
      <c r="J5" s="5" t="n">
        <f aca="false">Assumptions!J34</f>
        <v>11</v>
      </c>
      <c r="K5" s="5" t="n">
        <f aca="false">Assumptions!K34</f>
        <v>13</v>
      </c>
    </row>
    <row r="6" customFormat="false" ht="15" hidden="false" customHeight="true" outlineLevel="0" collapsed="false">
      <c r="A6" s="33" t="s">
        <v>89</v>
      </c>
      <c r="B6" s="5" t="n">
        <f aca="false">Assumptions!B35</f>
        <v>0</v>
      </c>
      <c r="C6" s="5" t="n">
        <f aca="false">Assumptions!C35</f>
        <v>1</v>
      </c>
      <c r="D6" s="5" t="n">
        <f aca="false">Assumptions!D35</f>
        <v>1</v>
      </c>
      <c r="E6" s="5" t="n">
        <f aca="false">Assumptions!E35</f>
        <v>2</v>
      </c>
      <c r="F6" s="5" t="n">
        <f aca="false">Assumptions!F35</f>
        <v>4</v>
      </c>
      <c r="G6" s="5" t="n">
        <f aca="false">Assumptions!G35</f>
        <v>6</v>
      </c>
      <c r="H6" s="5" t="n">
        <f aca="false">Assumptions!H35</f>
        <v>8</v>
      </c>
      <c r="I6" s="5" t="n">
        <f aca="false">Assumptions!I35</f>
        <v>10</v>
      </c>
      <c r="J6" s="5" t="n">
        <f aca="false">Assumptions!J35</f>
        <v>12</v>
      </c>
      <c r="K6" s="5" t="n">
        <f aca="false">Assumptions!K35</f>
        <v>14</v>
      </c>
    </row>
    <row r="7" customFormat="false" ht="15" hidden="false" customHeight="true" outlineLevel="0" collapsed="false">
      <c r="A7" s="33" t="s">
        <v>90</v>
      </c>
      <c r="B7" s="34" t="n">
        <f aca="false">SUM($B$5:B5)</f>
        <v>0</v>
      </c>
      <c r="C7" s="34" t="n">
        <f aca="false">SUM($B$5:C5)</f>
        <v>0</v>
      </c>
      <c r="D7" s="34" t="n">
        <f aca="false">SUM($B$5:D5)</f>
        <v>1</v>
      </c>
      <c r="E7" s="34" t="n">
        <f aca="false">SUM($B$5:E5)</f>
        <v>3</v>
      </c>
      <c r="F7" s="34" t="n">
        <f aca="false">SUM($B$5:F5)</f>
        <v>6</v>
      </c>
      <c r="G7" s="34" t="n">
        <f aca="false">SUM($B$5:G5)</f>
        <v>11</v>
      </c>
      <c r="H7" s="34" t="n">
        <f aca="false">SUM($B$5:H5)</f>
        <v>18</v>
      </c>
      <c r="I7" s="34" t="n">
        <f aca="false">SUM($B$5:I5)</f>
        <v>27</v>
      </c>
      <c r="J7" s="34" t="n">
        <f aca="false">SUM($B$5:J5)</f>
        <v>38</v>
      </c>
      <c r="K7" s="34" t="n">
        <f aca="false">SUM($B$5:K5)</f>
        <v>51</v>
      </c>
    </row>
    <row r="8" customFormat="false" ht="15" hidden="false" customHeight="true" outlineLevel="0" collapsed="false">
      <c r="A8" s="33" t="s">
        <v>91</v>
      </c>
      <c r="B8" s="34" t="n">
        <f aca="false">SUM($B$6:B6)</f>
        <v>0</v>
      </c>
      <c r="C8" s="34" t="n">
        <f aca="false">SUM($B$6:C6)</f>
        <v>1</v>
      </c>
      <c r="D8" s="34" t="n">
        <f aca="false">SUM($B$6:D6)</f>
        <v>2</v>
      </c>
      <c r="E8" s="34" t="n">
        <f aca="false">SUM($B$6:E6)</f>
        <v>4</v>
      </c>
      <c r="F8" s="34" t="n">
        <f aca="false">SUM($B$6:F6)</f>
        <v>8</v>
      </c>
      <c r="G8" s="34" t="n">
        <f aca="false">SUM($B$6:G6)</f>
        <v>14</v>
      </c>
      <c r="H8" s="34" t="n">
        <f aca="false">SUM($B$6:H6)</f>
        <v>22</v>
      </c>
      <c r="I8" s="34" t="n">
        <f aca="false">SUM($B$6:I6)</f>
        <v>32</v>
      </c>
      <c r="J8" s="34" t="n">
        <f aca="false">SUM($B$6:J6)</f>
        <v>44</v>
      </c>
      <c r="K8" s="34" t="n">
        <f aca="false">SUM($B$6:K6)</f>
        <v>58</v>
      </c>
    </row>
    <row r="9" customFormat="false" ht="15" hidden="false" customHeight="true" outlineLevel="0" collapsed="false">
      <c r="A9" s="23" t="s">
        <v>92</v>
      </c>
      <c r="B9" s="24" t="n">
        <f aca="false">B7+B8</f>
        <v>0</v>
      </c>
      <c r="C9" s="24" t="n">
        <f aca="false">C7+C8</f>
        <v>1</v>
      </c>
      <c r="D9" s="24" t="n">
        <f aca="false">D7+D8</f>
        <v>3</v>
      </c>
      <c r="E9" s="24" t="n">
        <f aca="false">E7+E8</f>
        <v>7</v>
      </c>
      <c r="F9" s="24" t="n">
        <f aca="false">F7+F8</f>
        <v>14</v>
      </c>
      <c r="G9" s="24" t="n">
        <f aca="false">G7+G8</f>
        <v>25</v>
      </c>
      <c r="H9" s="24" t="n">
        <f aca="false">H7+H8</f>
        <v>40</v>
      </c>
      <c r="I9" s="24" t="n">
        <f aca="false">I7+I8</f>
        <v>59</v>
      </c>
      <c r="J9" s="24" t="n">
        <f aca="false">J7+J8</f>
        <v>82</v>
      </c>
      <c r="K9" s="24" t="n">
        <f aca="false">K7+K8</f>
        <v>109</v>
      </c>
    </row>
    <row r="11" customFormat="false" ht="15" hidden="false" customHeight="true" outlineLevel="0" collapsed="false">
      <c r="A11" s="32" t="s">
        <v>93</v>
      </c>
    </row>
    <row r="12" customFormat="false" ht="15" hidden="false" customHeight="true" outlineLevel="0" collapsed="false">
      <c r="A12" s="33" t="s">
        <v>94</v>
      </c>
      <c r="B12" s="14" t="n">
        <f aca="false">B5*Assumptions!$B$7*Assumptions!$B$9</f>
        <v>0</v>
      </c>
      <c r="C12" s="14" t="n">
        <f aca="false">C5*Assumptions!$B$7*Assumptions!$B$9</f>
        <v>0</v>
      </c>
      <c r="D12" s="14" t="n">
        <f aca="false">D5*Assumptions!$B$7*Assumptions!$B$9</f>
        <v>855000</v>
      </c>
      <c r="E12" s="14" t="n">
        <f aca="false">E5*Assumptions!$B$7*Assumptions!$B$9</f>
        <v>1710000</v>
      </c>
      <c r="F12" s="14" t="n">
        <f aca="false">F5*Assumptions!$B$7*Assumptions!$B$9</f>
        <v>2565000</v>
      </c>
      <c r="G12" s="14" t="n">
        <f aca="false">G5*Assumptions!$B$7*Assumptions!$B$9</f>
        <v>4275000</v>
      </c>
      <c r="H12" s="14" t="n">
        <f aca="false">H5*Assumptions!$B$7*Assumptions!$B$9</f>
        <v>5985000</v>
      </c>
      <c r="I12" s="14" t="n">
        <f aca="false">I5*Assumptions!$B$7*Assumptions!$B$9</f>
        <v>7695000</v>
      </c>
      <c r="J12" s="14" t="n">
        <f aca="false">J5*Assumptions!$B$7*Assumptions!$B$9</f>
        <v>9405000</v>
      </c>
      <c r="K12" s="14" t="n">
        <f aca="false">K5*Assumptions!$B$7*Assumptions!$B$9</f>
        <v>11115000</v>
      </c>
    </row>
    <row r="13" customFormat="false" ht="15" hidden="false" customHeight="true" outlineLevel="0" collapsed="false">
      <c r="A13" s="33" t="s">
        <v>95</v>
      </c>
      <c r="B13" s="14" t="n">
        <f aca="false">B9*Assumptions!$B$10</f>
        <v>0</v>
      </c>
      <c r="C13" s="14" t="n">
        <f aca="false">C9*Assumptions!$B$10</f>
        <v>5000</v>
      </c>
      <c r="D13" s="14" t="n">
        <f aca="false">D9*Assumptions!$B$10</f>
        <v>15000</v>
      </c>
      <c r="E13" s="14" t="n">
        <f aca="false">E9*Assumptions!$B$10</f>
        <v>35000</v>
      </c>
      <c r="F13" s="14" t="n">
        <f aca="false">F9*Assumptions!$B$10</f>
        <v>70000</v>
      </c>
      <c r="G13" s="14" t="n">
        <f aca="false">G9*Assumptions!$B$10</f>
        <v>125000</v>
      </c>
      <c r="H13" s="14" t="n">
        <f aca="false">H9*Assumptions!$B$10</f>
        <v>200000</v>
      </c>
      <c r="I13" s="14" t="n">
        <f aca="false">I9*Assumptions!$B$10</f>
        <v>295000</v>
      </c>
      <c r="J13" s="14" t="n">
        <f aca="false">J9*Assumptions!$B$10</f>
        <v>410000</v>
      </c>
      <c r="K13" s="14" t="n">
        <f aca="false">K9*Assumptions!$B$10</f>
        <v>545000</v>
      </c>
    </row>
    <row r="14" customFormat="false" ht="15" hidden="false" customHeight="true" outlineLevel="0" collapsed="false">
      <c r="A14" s="33" t="s">
        <v>96</v>
      </c>
      <c r="B14" s="14" t="n">
        <f aca="false">B7*Assumptions!$B$11</f>
        <v>0</v>
      </c>
      <c r="C14" s="14" t="n">
        <f aca="false">C7*Assumptions!$B$11</f>
        <v>0</v>
      </c>
      <c r="D14" s="14" t="n">
        <f aca="false">D7*Assumptions!$B$11</f>
        <v>10000</v>
      </c>
      <c r="E14" s="14" t="n">
        <f aca="false">E7*Assumptions!$B$11</f>
        <v>30000</v>
      </c>
      <c r="F14" s="14" t="n">
        <f aca="false">F7*Assumptions!$B$11</f>
        <v>60000</v>
      </c>
      <c r="G14" s="14" t="n">
        <f aca="false">G7*Assumptions!$B$11</f>
        <v>110000</v>
      </c>
      <c r="H14" s="14" t="n">
        <f aca="false">H7*Assumptions!$B$11</f>
        <v>180000</v>
      </c>
      <c r="I14" s="14" t="n">
        <f aca="false">I7*Assumptions!$B$11</f>
        <v>270000</v>
      </c>
      <c r="J14" s="14" t="n">
        <f aca="false">J7*Assumptions!$B$11</f>
        <v>380000</v>
      </c>
      <c r="K14" s="14" t="n">
        <f aca="false">K7*Assumptions!$B$11</f>
        <v>510000</v>
      </c>
    </row>
    <row r="15" customFormat="false" ht="15" hidden="false" customHeight="true" outlineLevel="0" collapsed="false">
      <c r="A15" s="33" t="s">
        <v>97</v>
      </c>
      <c r="B15" s="14" t="n">
        <f aca="false">B8*Assumptions!$B$8*Assumptions!$B$13</f>
        <v>0</v>
      </c>
      <c r="C15" s="14" t="n">
        <f aca="false">C8*Assumptions!$B$8*Assumptions!$B$13</f>
        <v>516000</v>
      </c>
      <c r="D15" s="14" t="n">
        <f aca="false">D8*Assumptions!$B$8*Assumptions!$B$13</f>
        <v>1032000</v>
      </c>
      <c r="E15" s="14" t="n">
        <f aca="false">E8*Assumptions!$B$8*Assumptions!$B$13</f>
        <v>2064000</v>
      </c>
      <c r="F15" s="14" t="n">
        <f aca="false">F8*Assumptions!$B$8*Assumptions!$B$13</f>
        <v>4128000</v>
      </c>
      <c r="G15" s="14" t="n">
        <f aca="false">G8*Assumptions!$B$8*Assumptions!$B$13</f>
        <v>7224000</v>
      </c>
      <c r="H15" s="14" t="n">
        <f aca="false">H8*Assumptions!$B$8*Assumptions!$B$13</f>
        <v>11352000</v>
      </c>
      <c r="I15" s="14" t="n">
        <f aca="false">I8*Assumptions!$B$8*Assumptions!$B$13</f>
        <v>16512000</v>
      </c>
      <c r="J15" s="14" t="n">
        <f aca="false">J8*Assumptions!$B$8*Assumptions!$B$13</f>
        <v>22704000</v>
      </c>
      <c r="K15" s="14" t="n">
        <f aca="false">K8*Assumptions!$B$8*Assumptions!$B$13</f>
        <v>29928000</v>
      </c>
    </row>
    <row r="16" customFormat="false" ht="15" hidden="false" customHeight="true" outlineLevel="0" collapsed="false">
      <c r="A16" s="23" t="s">
        <v>98</v>
      </c>
      <c r="B16" s="35" t="n">
        <f aca="false">SUM(B12:B15)</f>
        <v>0</v>
      </c>
      <c r="C16" s="35" t="n">
        <f aca="false">SUM(C12:C15)</f>
        <v>521000</v>
      </c>
      <c r="D16" s="35" t="n">
        <f aca="false">SUM(D12:D15)</f>
        <v>1912000</v>
      </c>
      <c r="E16" s="35" t="n">
        <f aca="false">SUM(E12:E15)</f>
        <v>3839000</v>
      </c>
      <c r="F16" s="35" t="n">
        <f aca="false">SUM(F12:F15)</f>
        <v>6823000</v>
      </c>
      <c r="G16" s="35" t="n">
        <f aca="false">SUM(G12:G15)</f>
        <v>11734000</v>
      </c>
      <c r="H16" s="35" t="n">
        <f aca="false">SUM(H12:H15)</f>
        <v>17717000</v>
      </c>
      <c r="I16" s="35" t="n">
        <f aca="false">SUM(I12:I15)</f>
        <v>24772000</v>
      </c>
      <c r="J16" s="35" t="n">
        <f aca="false">SUM(J12:J15)</f>
        <v>32899000</v>
      </c>
      <c r="K16" s="35" t="n">
        <f aca="false">SUM(K12:K15)</f>
        <v>42098000</v>
      </c>
    </row>
    <row r="17" customFormat="false" ht="15" hidden="false" customHeight="true" outlineLevel="0" collapsed="false">
      <c r="A17" s="33" t="s">
        <v>99</v>
      </c>
      <c r="B17" s="36" t="n">
        <f aca="false">IF(B16=0,0,(B13+B14+B15)/B16)</f>
        <v>0</v>
      </c>
      <c r="C17" s="36" t="n">
        <f aca="false">IF(C16=0,0,(C13+C14+C15)/C16)</f>
        <v>1</v>
      </c>
      <c r="D17" s="36" t="n">
        <f aca="false">IF(D16=0,0,(D13+D14+D15)/D16)</f>
        <v>0.552824267782427</v>
      </c>
      <c r="E17" s="36" t="n">
        <f aca="false">IF(E16=0,0,(E13+E14+E15)/E16)</f>
        <v>0.554571502995572</v>
      </c>
      <c r="F17" s="36" t="n">
        <f aca="false">IF(F16=0,0,(F13+F14+F15)/F16)</f>
        <v>0.624065660266745</v>
      </c>
      <c r="G17" s="36" t="n">
        <f aca="false">IF(G16=0,0,(G13+G14+G15)/G16)</f>
        <v>0.635674109425601</v>
      </c>
      <c r="H17" s="36" t="n">
        <f aca="false">IF(H16=0,0,(H13+H14+H15)/H16)</f>
        <v>0.662188858158831</v>
      </c>
      <c r="I17" s="36" t="n">
        <f aca="false">IF(I16=0,0,(I13+I14+I15)/I16)</f>
        <v>0.689367027288875</v>
      </c>
      <c r="J17" s="36" t="n">
        <f aca="false">IF(J16=0,0,(J13+J14+J15)/J16)</f>
        <v>0.714125049393599</v>
      </c>
      <c r="K17" s="36" t="n">
        <f aca="false">IF(K16=0,0,(K13+K14+K15)/K16)</f>
        <v>0.735973205377928</v>
      </c>
    </row>
    <row r="19" customFormat="false" ht="15" hidden="false" customHeight="true" outlineLevel="0" collapsed="false">
      <c r="A19" s="32" t="s">
        <v>100</v>
      </c>
    </row>
    <row r="20" customFormat="false" ht="15" hidden="true" customHeight="true" outlineLevel="0" collapsed="false">
      <c r="A20" s="33" t="s">
        <v>101</v>
      </c>
      <c r="B20" s="37" t="n">
        <f aca="false">(1+Assumptions!$B$30)^(COLUMN()-2)</f>
        <v>1</v>
      </c>
      <c r="C20" s="37" t="n">
        <f aca="false">(1+Assumptions!$B$30)^(COLUMN()-2)</f>
        <v>1.02</v>
      </c>
      <c r="D20" s="37" t="n">
        <f aca="false">(1+Assumptions!$B$30)^(COLUMN()-2)</f>
        <v>1.0404</v>
      </c>
      <c r="E20" s="37" t="n">
        <f aca="false">(1+Assumptions!$B$30)^(COLUMN()-2)</f>
        <v>1.061208</v>
      </c>
      <c r="F20" s="37" t="n">
        <f aca="false">(1+Assumptions!$B$30)^(COLUMN()-2)</f>
        <v>1.08243216</v>
      </c>
      <c r="G20" s="37" t="n">
        <f aca="false">(1+Assumptions!$B$30)^(COLUMN()-2)</f>
        <v>1.1040808032</v>
      </c>
      <c r="H20" s="37" t="n">
        <f aca="false">(1+Assumptions!$B$30)^(COLUMN()-2)</f>
        <v>1.126162419264</v>
      </c>
      <c r="I20" s="37" t="n">
        <f aca="false">(1+Assumptions!$B$30)^(COLUMN()-2)</f>
        <v>1.14868566764928</v>
      </c>
      <c r="J20" s="37" t="n">
        <f aca="false">(1+Assumptions!$B$30)^(COLUMN()-2)</f>
        <v>1.17165938100227</v>
      </c>
      <c r="K20" s="37" t="n">
        <f aca="false">(1+Assumptions!$B$30)^(COLUMN()-2)</f>
        <v>1.19509256862231</v>
      </c>
    </row>
    <row r="21" customFormat="false" ht="15" hidden="false" customHeight="true" outlineLevel="0" collapsed="false">
      <c r="A21" s="33" t="s">
        <v>102</v>
      </c>
      <c r="B21" s="14" t="n">
        <f aca="false">Assumptions!$B$17*Assumptions!$B$18*12*B20</f>
        <v>300000</v>
      </c>
      <c r="C21" s="14" t="n">
        <f aca="false">Assumptions!$B$17*Assumptions!$B$18*12*C20</f>
        <v>306000</v>
      </c>
      <c r="D21" s="14" t="n">
        <f aca="false">Assumptions!$B$17*Assumptions!$B$18*12*D20</f>
        <v>312120</v>
      </c>
      <c r="E21" s="14" t="n">
        <f aca="false">Assumptions!$B$17*Assumptions!$B$18*12*E20</f>
        <v>318362.4</v>
      </c>
      <c r="F21" s="14" t="n">
        <f aca="false">Assumptions!$B$17*Assumptions!$B$18*12*F20</f>
        <v>324729.648</v>
      </c>
      <c r="G21" s="14" t="n">
        <f aca="false">Assumptions!$B$17*Assumptions!$B$18*12*G20</f>
        <v>331224.24096</v>
      </c>
      <c r="H21" s="14" t="n">
        <f aca="false">Assumptions!$B$17*Assumptions!$B$18*12*H20</f>
        <v>337848.7257792</v>
      </c>
      <c r="I21" s="14" t="n">
        <f aca="false">Assumptions!$B$17*Assumptions!$B$18*12*I20</f>
        <v>344605.700294784</v>
      </c>
      <c r="J21" s="14" t="n">
        <f aca="false">Assumptions!$B$17*Assumptions!$B$18*12*J20</f>
        <v>351497.81430068</v>
      </c>
      <c r="K21" s="14" t="n">
        <f aca="false">Assumptions!$B$17*Assumptions!$B$18*12*K20</f>
        <v>358527.770586693</v>
      </c>
    </row>
    <row r="22" customFormat="false" ht="15" hidden="false" customHeight="true" outlineLevel="0" collapsed="false">
      <c r="A22" s="33" t="s">
        <v>103</v>
      </c>
      <c r="B22" s="14" t="n">
        <f aca="false">Assumptions!$B$19*Assumptions!$B$20*12*B20</f>
        <v>108000</v>
      </c>
      <c r="C22" s="14" t="n">
        <f aca="false">Assumptions!$B$19*Assumptions!$B$20*12*C20</f>
        <v>110160</v>
      </c>
      <c r="D22" s="14" t="n">
        <f aca="false">Assumptions!$B$19*Assumptions!$B$20*12*D20</f>
        <v>112363.2</v>
      </c>
      <c r="E22" s="14" t="n">
        <f aca="false">Assumptions!$B$19*Assumptions!$B$20*12*E20</f>
        <v>114610.464</v>
      </c>
      <c r="F22" s="14" t="n">
        <f aca="false">Assumptions!$B$19*Assumptions!$B$20*12*F20</f>
        <v>116902.67328</v>
      </c>
      <c r="G22" s="14" t="n">
        <f aca="false">Assumptions!$B$19*Assumptions!$B$20*12*G20</f>
        <v>119240.7267456</v>
      </c>
      <c r="H22" s="14" t="n">
        <f aca="false">Assumptions!$B$19*Assumptions!$B$20*12*H20</f>
        <v>121625.541280512</v>
      </c>
      <c r="I22" s="14" t="n">
        <f aca="false">Assumptions!$B$19*Assumptions!$B$20*12*I20</f>
        <v>124058.052106122</v>
      </c>
      <c r="J22" s="14" t="n">
        <f aca="false">Assumptions!$B$19*Assumptions!$B$20*12*J20</f>
        <v>126539.213148245</v>
      </c>
      <c r="K22" s="14" t="n">
        <f aca="false">Assumptions!$B$19*Assumptions!$B$20*12*K20</f>
        <v>129069.99741121</v>
      </c>
    </row>
    <row r="23" customFormat="false" ht="15" hidden="false" customHeight="true" outlineLevel="0" collapsed="false">
      <c r="A23" s="33" t="s">
        <v>104</v>
      </c>
      <c r="B23" s="14" t="n">
        <f aca="false">ROUNDUP(B9/Assumptions!$B$28,0)*Assumptions!$B$29*12*B20</f>
        <v>0</v>
      </c>
      <c r="C23" s="14" t="n">
        <f aca="false">ROUNDUP(C9/Assumptions!$B$28,0)*Assumptions!$B$29*12*C20</f>
        <v>36720</v>
      </c>
      <c r="D23" s="14" t="n">
        <f aca="false">ROUNDUP(D9/Assumptions!$B$28,0)*Assumptions!$B$29*12*D20</f>
        <v>37454.4</v>
      </c>
      <c r="E23" s="14" t="n">
        <f aca="false">ROUNDUP(E9/Assumptions!$B$28,0)*Assumptions!$B$29*12*E20</f>
        <v>76406.976</v>
      </c>
      <c r="F23" s="14" t="n">
        <f aca="false">ROUNDUP(F9/Assumptions!$B$28,0)*Assumptions!$B$29*12*F20</f>
        <v>116902.67328</v>
      </c>
      <c r="G23" s="14" t="n">
        <f aca="false">ROUNDUP(G9/Assumptions!$B$28,0)*Assumptions!$B$29*12*G20</f>
        <v>198734.544576</v>
      </c>
      <c r="H23" s="14" t="n">
        <f aca="false">ROUNDUP(H9/Assumptions!$B$28,0)*Assumptions!$B$29*12*H20</f>
        <v>324334.776748032</v>
      </c>
      <c r="I23" s="14" t="n">
        <f aca="false">ROUNDUP(I9/Assumptions!$B$28,0)*Assumptions!$B$29*12*I20</f>
        <v>496232.208424489</v>
      </c>
      <c r="J23" s="14" t="n">
        <f aca="false">ROUNDUP(J9/Assumptions!$B$28,0)*Assumptions!$B$29*12*J20</f>
        <v>717055.541173387</v>
      </c>
      <c r="K23" s="14" t="n">
        <f aca="false">ROUNDUP(K9/Assumptions!$B$28,0)*Assumptions!$B$29*12*K20</f>
        <v>946513.31434887</v>
      </c>
    </row>
    <row r="24" customFormat="false" ht="15" hidden="false" customHeight="true" outlineLevel="0" collapsed="false">
      <c r="A24" s="33" t="s">
        <v>105</v>
      </c>
      <c r="B24" s="14" t="n">
        <f aca="false">Assumptions!$B$21*12*B20</f>
        <v>24000</v>
      </c>
      <c r="C24" s="14" t="n">
        <f aca="false">Assumptions!$B$21*12*C20</f>
        <v>24480</v>
      </c>
      <c r="D24" s="14" t="n">
        <f aca="false">Assumptions!$B$21*12*D20</f>
        <v>24969.6</v>
      </c>
      <c r="E24" s="14" t="n">
        <f aca="false">Assumptions!$B$21*12*E20</f>
        <v>25468.992</v>
      </c>
      <c r="F24" s="14" t="n">
        <f aca="false">Assumptions!$B$21*12*F20</f>
        <v>25978.37184</v>
      </c>
      <c r="G24" s="14" t="n">
        <f aca="false">Assumptions!$B$21*12*G20</f>
        <v>26497.9392768</v>
      </c>
      <c r="H24" s="14" t="n">
        <f aca="false">Assumptions!$B$21*12*H20</f>
        <v>27027.898062336</v>
      </c>
      <c r="I24" s="14" t="n">
        <f aca="false">Assumptions!$B$21*12*I20</f>
        <v>27568.4560235827</v>
      </c>
      <c r="J24" s="14" t="n">
        <f aca="false">Assumptions!$B$21*12*J20</f>
        <v>28119.8251440544</v>
      </c>
      <c r="K24" s="14" t="n">
        <f aca="false">Assumptions!$B$21*12*K20</f>
        <v>28682.2216469355</v>
      </c>
    </row>
    <row r="25" customFormat="false" ht="15" hidden="false" customHeight="true" outlineLevel="0" collapsed="false">
      <c r="A25" s="33" t="s">
        <v>106</v>
      </c>
      <c r="B25" s="14" t="n">
        <f aca="false">IF(COLUMN()=2,Assumptions!$B$22,Assumptions!$B$23*B20)</f>
        <v>250000</v>
      </c>
      <c r="C25" s="14" t="n">
        <f aca="false">IF(COLUMN()=2,Assumptions!$B$22,Assumptions!$B$23*C20)</f>
        <v>153000</v>
      </c>
      <c r="D25" s="14" t="n">
        <f aca="false">IF(COLUMN()=2,Assumptions!$B$22,Assumptions!$B$23*D20)</f>
        <v>156060</v>
      </c>
      <c r="E25" s="14" t="n">
        <f aca="false">IF(COLUMN()=2,Assumptions!$B$22,Assumptions!$B$23*E20)</f>
        <v>159181.2</v>
      </c>
      <c r="F25" s="14" t="n">
        <f aca="false">IF(COLUMN()=2,Assumptions!$B$22,Assumptions!$B$23*F20)</f>
        <v>162364.824</v>
      </c>
      <c r="G25" s="14" t="n">
        <f aca="false">IF(COLUMN()=2,Assumptions!$B$22,Assumptions!$B$23*G20)</f>
        <v>165612.12048</v>
      </c>
      <c r="H25" s="14" t="n">
        <f aca="false">IF(COLUMN()=2,Assumptions!$B$22,Assumptions!$B$23*H20)</f>
        <v>168924.3628896</v>
      </c>
      <c r="I25" s="14" t="n">
        <f aca="false">IF(COLUMN()=2,Assumptions!$B$22,Assumptions!$B$23*I20)</f>
        <v>172302.850147392</v>
      </c>
      <c r="J25" s="14" t="n">
        <f aca="false">IF(COLUMN()=2,Assumptions!$B$22,Assumptions!$B$23*J20)</f>
        <v>175748.90715034</v>
      </c>
      <c r="K25" s="14" t="n">
        <f aca="false">IF(COLUMN()=2,Assumptions!$B$22,Assumptions!$B$23*K20)</f>
        <v>179263.885293347</v>
      </c>
    </row>
    <row r="26" customFormat="false" ht="15" hidden="false" customHeight="true" outlineLevel="0" collapsed="false">
      <c r="A26" s="33" t="s">
        <v>107</v>
      </c>
      <c r="B26" s="14" t="n">
        <f aca="false">IF(COLUMN()=2,Assumptions!$B$24*Assumptions!$B$25,Assumptions!$B$24*12*B20)</f>
        <v>100000</v>
      </c>
      <c r="C26" s="14" t="n">
        <f aca="false">IF(COLUMN()=2,Assumptions!$B$24*Assumptions!$B$25,Assumptions!$B$24*12*C20)</f>
        <v>122400</v>
      </c>
      <c r="D26" s="14" t="n">
        <f aca="false">IF(COLUMN()=2,Assumptions!$B$24*Assumptions!$B$25,Assumptions!$B$24*12*D20)</f>
        <v>124848</v>
      </c>
      <c r="E26" s="14" t="n">
        <f aca="false">IF(COLUMN()=2,Assumptions!$B$24*Assumptions!$B$25,Assumptions!$B$24*12*E20)</f>
        <v>127344.96</v>
      </c>
      <c r="F26" s="14" t="n">
        <f aca="false">IF(COLUMN()=2,Assumptions!$B$24*Assumptions!$B$25,Assumptions!$B$24*12*F20)</f>
        <v>129891.8592</v>
      </c>
      <c r="G26" s="14" t="n">
        <f aca="false">IF(COLUMN()=2,Assumptions!$B$24*Assumptions!$B$25,Assumptions!$B$24*12*G20)</f>
        <v>132489.696384</v>
      </c>
      <c r="H26" s="14" t="n">
        <f aca="false">IF(COLUMN()=2,Assumptions!$B$24*Assumptions!$B$25,Assumptions!$B$24*12*H20)</f>
        <v>135139.49031168</v>
      </c>
      <c r="I26" s="14" t="n">
        <f aca="false">IF(COLUMN()=2,Assumptions!$B$24*Assumptions!$B$25,Assumptions!$B$24*12*I20)</f>
        <v>137842.280117914</v>
      </c>
      <c r="J26" s="14" t="n">
        <f aca="false">IF(COLUMN()=2,Assumptions!$B$24*Assumptions!$B$25,Assumptions!$B$24*12*J20)</f>
        <v>140599.125720272</v>
      </c>
      <c r="K26" s="14" t="n">
        <f aca="false">IF(COLUMN()=2,Assumptions!$B$24*Assumptions!$B$25,Assumptions!$B$24*12*K20)</f>
        <v>143411.108234677</v>
      </c>
    </row>
    <row r="27" customFormat="false" ht="15" hidden="false" customHeight="true" outlineLevel="0" collapsed="false">
      <c r="A27" s="33" t="s">
        <v>108</v>
      </c>
      <c r="B27" s="14" t="n">
        <f aca="false">Assumptions!$B$26*12*B20</f>
        <v>60000</v>
      </c>
      <c r="C27" s="14" t="n">
        <f aca="false">Assumptions!$B$26*12*C20</f>
        <v>61200</v>
      </c>
      <c r="D27" s="14" t="n">
        <f aca="false">Assumptions!$B$26*12*D20</f>
        <v>62424</v>
      </c>
      <c r="E27" s="14" t="n">
        <f aca="false">Assumptions!$B$26*12*E20</f>
        <v>63672.48</v>
      </c>
      <c r="F27" s="14" t="n">
        <f aca="false">Assumptions!$B$26*12*F20</f>
        <v>64945.9296</v>
      </c>
      <c r="G27" s="14" t="n">
        <f aca="false">Assumptions!$B$26*12*G20</f>
        <v>66244.848192</v>
      </c>
      <c r="H27" s="14" t="n">
        <f aca="false">Assumptions!$B$26*12*H20</f>
        <v>67569.74515584</v>
      </c>
      <c r="I27" s="14" t="n">
        <f aca="false">Assumptions!$B$26*12*I20</f>
        <v>68921.1400589568</v>
      </c>
      <c r="J27" s="14" t="n">
        <f aca="false">Assumptions!$B$26*12*J20</f>
        <v>70299.562860136</v>
      </c>
      <c r="K27" s="14" t="n">
        <f aca="false">Assumptions!$B$26*12*K20</f>
        <v>71705.5541173387</v>
      </c>
    </row>
    <row r="28" customFormat="false" ht="15" hidden="false" customHeight="true" outlineLevel="0" collapsed="false">
      <c r="A28" s="33" t="s">
        <v>109</v>
      </c>
      <c r="B28" s="14" t="n">
        <f aca="false">Assumptions!$B$27*B20</f>
        <v>30000</v>
      </c>
      <c r="C28" s="14" t="n">
        <f aca="false">Assumptions!$B$27*C20</f>
        <v>30600</v>
      </c>
      <c r="D28" s="14" t="n">
        <f aca="false">Assumptions!$B$27*D20</f>
        <v>31212</v>
      </c>
      <c r="E28" s="14" t="n">
        <f aca="false">Assumptions!$B$27*E20</f>
        <v>31836.24</v>
      </c>
      <c r="F28" s="14" t="n">
        <f aca="false">Assumptions!$B$27*F20</f>
        <v>32472.9648</v>
      </c>
      <c r="G28" s="14" t="n">
        <f aca="false">Assumptions!$B$27*G20</f>
        <v>33122.424096</v>
      </c>
      <c r="H28" s="14" t="n">
        <f aca="false">Assumptions!$B$27*H20</f>
        <v>33784.87257792</v>
      </c>
      <c r="I28" s="14" t="n">
        <f aca="false">Assumptions!$B$27*I20</f>
        <v>34460.5700294784</v>
      </c>
      <c r="J28" s="14" t="n">
        <f aca="false">Assumptions!$B$27*J20</f>
        <v>35149.781430068</v>
      </c>
      <c r="K28" s="14" t="n">
        <f aca="false">Assumptions!$B$27*K20</f>
        <v>35852.7770586693</v>
      </c>
    </row>
    <row r="29" customFormat="false" ht="15" hidden="false" customHeight="true" outlineLevel="0" collapsed="false">
      <c r="A29" s="33" t="s">
        <v>110</v>
      </c>
      <c r="B29" s="14" t="n">
        <f aca="false">B8*Assumptions!$B$12*B20</f>
        <v>0</v>
      </c>
      <c r="C29" s="14" t="n">
        <f aca="false">C8*Assumptions!$B$12*C20</f>
        <v>10200</v>
      </c>
      <c r="D29" s="14" t="n">
        <f aca="false">D8*Assumptions!$B$12*D20</f>
        <v>20808</v>
      </c>
      <c r="E29" s="14" t="n">
        <f aca="false">E8*Assumptions!$B$12*E20</f>
        <v>42448.32</v>
      </c>
      <c r="F29" s="14" t="n">
        <f aca="false">F8*Assumptions!$B$12*F20</f>
        <v>86594.5728</v>
      </c>
      <c r="G29" s="14" t="n">
        <f aca="false">G8*Assumptions!$B$12*G20</f>
        <v>154571.312448</v>
      </c>
      <c r="H29" s="14" t="n">
        <f aca="false">H8*Assumptions!$B$12*H20</f>
        <v>247755.73223808</v>
      </c>
      <c r="I29" s="14" t="n">
        <f aca="false">I8*Assumptions!$B$12*I20</f>
        <v>367579.41364777</v>
      </c>
      <c r="J29" s="14" t="n">
        <f aca="false">J8*Assumptions!$B$12*J20</f>
        <v>515530.127640997</v>
      </c>
      <c r="K29" s="14" t="n">
        <f aca="false">K8*Assumptions!$B$12*K20</f>
        <v>693153.689800941</v>
      </c>
    </row>
    <row r="30" customFormat="false" ht="15" hidden="false" customHeight="true" outlineLevel="0" collapsed="false">
      <c r="A30" s="23" t="s">
        <v>111</v>
      </c>
      <c r="B30" s="35" t="n">
        <f aca="false">SUM(B21:B29)</f>
        <v>872000</v>
      </c>
      <c r="C30" s="35" t="n">
        <f aca="false">SUM(C21:C29)</f>
        <v>854760</v>
      </c>
      <c r="D30" s="35" t="n">
        <f aca="false">SUM(D21:D29)</f>
        <v>882259.2</v>
      </c>
      <c r="E30" s="35" t="n">
        <f aca="false">SUM(E21:E29)</f>
        <v>959332.032</v>
      </c>
      <c r="F30" s="35" t="n">
        <f aca="false">SUM(F21:F29)</f>
        <v>1060783.5168</v>
      </c>
      <c r="G30" s="35" t="n">
        <f aca="false">SUM(G21:G29)</f>
        <v>1227737.8531584</v>
      </c>
      <c r="H30" s="35" t="n">
        <f aca="false">SUM(H21:H29)</f>
        <v>1464011.1450432</v>
      </c>
      <c r="I30" s="35" t="n">
        <f aca="false">SUM(I21:I29)</f>
        <v>1773570.67085049</v>
      </c>
      <c r="J30" s="35" t="n">
        <f aca="false">SUM(J21:J29)</f>
        <v>2160539.89856818</v>
      </c>
      <c r="K30" s="35" t="n">
        <f aca="false">SUM(K21:K29)</f>
        <v>2586180.31849868</v>
      </c>
    </row>
    <row r="32" customFormat="false" ht="15" hidden="false" customHeight="true" outlineLevel="0" collapsed="false">
      <c r="A32" s="32" t="s">
        <v>112</v>
      </c>
    </row>
    <row r="33" customFormat="false" ht="15" hidden="false" customHeight="true" outlineLevel="0" collapsed="false">
      <c r="A33" s="23" t="s">
        <v>113</v>
      </c>
      <c r="B33" s="35" t="n">
        <f aca="false">B16-B30</f>
        <v>-872000</v>
      </c>
      <c r="C33" s="35" t="n">
        <f aca="false">C16-C30</f>
        <v>-333760</v>
      </c>
      <c r="D33" s="35" t="n">
        <f aca="false">D16-D30</f>
        <v>1029740.8</v>
      </c>
      <c r="E33" s="35" t="n">
        <f aca="false">E16-E30</f>
        <v>2879667.968</v>
      </c>
      <c r="F33" s="35" t="n">
        <f aca="false">F16-F30</f>
        <v>5762216.4832</v>
      </c>
      <c r="G33" s="35" t="n">
        <f aca="false">G16-G30</f>
        <v>10506262.1468416</v>
      </c>
      <c r="H33" s="35" t="n">
        <f aca="false">H16-H30</f>
        <v>16252988.8549568</v>
      </c>
      <c r="I33" s="35" t="n">
        <f aca="false">I16-I30</f>
        <v>22998429.3291495</v>
      </c>
      <c r="J33" s="35" t="n">
        <f aca="false">J16-J30</f>
        <v>30738460.1014318</v>
      </c>
      <c r="K33" s="35" t="n">
        <f aca="false">K16-K30</f>
        <v>39511819.6815013</v>
      </c>
    </row>
    <row r="34" customFormat="false" ht="15" hidden="false" customHeight="true" outlineLevel="0" collapsed="false">
      <c r="A34" s="33" t="s">
        <v>114</v>
      </c>
      <c r="B34" s="36" t="n">
        <f aca="false">IF(B16=0,0,B33/B16)</f>
        <v>0</v>
      </c>
      <c r="C34" s="36" t="n">
        <f aca="false">IF(C16=0,0,C33/C16)</f>
        <v>-0.640614203454894</v>
      </c>
      <c r="D34" s="36" t="n">
        <f aca="false">IF(D16=0,0,D33/D16)</f>
        <v>0.538567364016736</v>
      </c>
      <c r="E34" s="36" t="n">
        <f aca="false">IF(E16=0,0,E33/E16)</f>
        <v>0.750108874185986</v>
      </c>
      <c r="F34" s="36" t="n">
        <f aca="false">IF(F16=0,0,F33/F16)</f>
        <v>0.844528284215155</v>
      </c>
      <c r="G34" s="36" t="n">
        <f aca="false">IF(G16=0,0,G33/G16)</f>
        <v>0.895369196083313</v>
      </c>
      <c r="H34" s="36" t="n">
        <f aca="false">IF(H16=0,0,H33/H16)</f>
        <v>0.917366871081831</v>
      </c>
      <c r="I34" s="36" t="n">
        <f aca="false">IF(I16=0,0,I33/I16)</f>
        <v>0.928404219649181</v>
      </c>
      <c r="J34" s="36" t="n">
        <f aca="false">IF(J16=0,0,J33/J16)</f>
        <v>0.934328098162006</v>
      </c>
      <c r="K34" s="36" t="n">
        <f aca="false">IF(K16=0,0,K33/K16)</f>
        <v>0.938567620350167</v>
      </c>
    </row>
    <row r="36" customFormat="false" ht="15" hidden="false" customHeight="true" outlineLevel="0" collapsed="false">
      <c r="A36" s="32" t="s">
        <v>115</v>
      </c>
    </row>
    <row r="37" customFormat="false" ht="15" hidden="false" customHeight="true" outlineLevel="0" collapsed="false">
      <c r="A37" s="33" t="s">
        <v>116</v>
      </c>
      <c r="B37" s="14" t="n">
        <f aca="false">-B6*Assumptions!$B$7*(1-Assumptions!$B$15)</f>
        <v>-0</v>
      </c>
      <c r="C37" s="14" t="n">
        <f aca="false">-C6*Assumptions!$B$7*(1-Assumptions!$B$15)</f>
        <v>-4845000</v>
      </c>
      <c r="D37" s="14" t="n">
        <f aca="false">-D6*Assumptions!$B$7*(1-Assumptions!$B$15)</f>
        <v>-4845000</v>
      </c>
      <c r="E37" s="14" t="n">
        <f aca="false">-E6*Assumptions!$B$7*(1-Assumptions!$B$15)</f>
        <v>-9690000</v>
      </c>
      <c r="F37" s="14" t="n">
        <f aca="false">-F6*Assumptions!$B$7*(1-Assumptions!$B$15)</f>
        <v>-19380000</v>
      </c>
      <c r="G37" s="14" t="n">
        <f aca="false">-G6*Assumptions!$B$7*(1-Assumptions!$B$15)</f>
        <v>-29070000</v>
      </c>
      <c r="H37" s="14" t="n">
        <f aca="false">-H6*Assumptions!$B$7*(1-Assumptions!$B$15)</f>
        <v>-38760000</v>
      </c>
      <c r="I37" s="14" t="n">
        <f aca="false">-I6*Assumptions!$B$7*(1-Assumptions!$B$15)</f>
        <v>-48450000</v>
      </c>
      <c r="J37" s="14" t="n">
        <f aca="false">-J6*Assumptions!$B$7*(1-Assumptions!$B$15)</f>
        <v>-58140000</v>
      </c>
      <c r="K37" s="14" t="n">
        <f aca="false">-K6*Assumptions!$B$7*(1-Assumptions!$B$15)</f>
        <v>-67830000</v>
      </c>
    </row>
    <row r="38" customFormat="false" ht="15" hidden="false" customHeight="true" outlineLevel="0" collapsed="false">
      <c r="A38" s="33" t="s">
        <v>117</v>
      </c>
      <c r="B38" s="14" t="n">
        <f aca="false">B33+B37</f>
        <v>-872000</v>
      </c>
      <c r="C38" s="14" t="n">
        <f aca="false">C33+C37</f>
        <v>-5178760</v>
      </c>
      <c r="D38" s="14" t="n">
        <f aca="false">D33+D37</f>
        <v>-3815259.2</v>
      </c>
      <c r="E38" s="14" t="n">
        <f aca="false">E33+E37</f>
        <v>-6810332.032</v>
      </c>
      <c r="F38" s="14" t="n">
        <f aca="false">F33+F37</f>
        <v>-13617783.5168</v>
      </c>
      <c r="G38" s="14" t="n">
        <f aca="false">G33+G37</f>
        <v>-18563737.8531584</v>
      </c>
      <c r="H38" s="14" t="n">
        <f aca="false">H33+H37</f>
        <v>-22507011.1450432</v>
      </c>
      <c r="I38" s="14" t="n">
        <f aca="false">I33+I37</f>
        <v>-25451570.6708505</v>
      </c>
      <c r="J38" s="14" t="n">
        <f aca="false">J33+J37</f>
        <v>-27401539.8985682</v>
      </c>
      <c r="K38" s="14" t="n">
        <f aca="false">K33+K37</f>
        <v>-28318180.3184987</v>
      </c>
    </row>
    <row r="39" customFormat="false" ht="15" hidden="false" customHeight="true" outlineLevel="0" collapsed="false">
      <c r="A39" s="23" t="s">
        <v>118</v>
      </c>
      <c r="B39" s="35" t="n">
        <f aca="false">SUM($B$38:B38)</f>
        <v>-872000</v>
      </c>
      <c r="C39" s="35" t="n">
        <f aca="false">SUM($B$38:C38)</f>
        <v>-6050760</v>
      </c>
      <c r="D39" s="35" t="n">
        <f aca="false">SUM($B$38:D38)</f>
        <v>-9866019.2</v>
      </c>
      <c r="E39" s="35" t="n">
        <f aca="false">SUM($B$38:E38)</f>
        <v>-16676351.232</v>
      </c>
      <c r="F39" s="35" t="n">
        <f aca="false">SUM($B$38:F38)</f>
        <v>-30294134.7488</v>
      </c>
      <c r="G39" s="35" t="n">
        <f aca="false">SUM($B$38:G38)</f>
        <v>-48857872.6019584</v>
      </c>
      <c r="H39" s="35" t="n">
        <f aca="false">SUM($B$38:H38)</f>
        <v>-71364883.7470016</v>
      </c>
      <c r="I39" s="35" t="n">
        <f aca="false">SUM($B$38:I38)</f>
        <v>-96816454.4178521</v>
      </c>
      <c r="J39" s="35" t="n">
        <f aca="false">SUM($B$38:J38)</f>
        <v>-124217994.31642</v>
      </c>
      <c r="K39" s="35" t="n">
        <f aca="false">SUM($B$38:K38)</f>
        <v>-152536174.634919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119</v>
      </c>
    </row>
    <row r="3" customFormat="false" ht="15" hidden="false" customHeight="true" outlineLevel="0" collapsed="false">
      <c r="A3" s="10" t="s">
        <v>120</v>
      </c>
      <c r="B3" s="11"/>
    </row>
    <row r="4" customFormat="false" ht="15" hidden="false" customHeight="true" outlineLevel="0" collapsed="false">
      <c r="A4" s="4" t="s">
        <v>121</v>
      </c>
      <c r="B4" s="12" t="n">
        <v>1400000</v>
      </c>
      <c r="C4" s="3" t="s">
        <v>122</v>
      </c>
    </row>
    <row r="5" customFormat="false" ht="15" hidden="false" customHeight="true" outlineLevel="0" collapsed="false">
      <c r="A5" s="4" t="s">
        <v>123</v>
      </c>
      <c r="B5" s="12" t="n">
        <v>3400000</v>
      </c>
    </row>
    <row r="6" customFormat="false" ht="15" hidden="false" customHeight="true" outlineLevel="0" collapsed="false">
      <c r="A6" s="4" t="s">
        <v>124</v>
      </c>
      <c r="B6" s="12" t="n">
        <v>600000</v>
      </c>
      <c r="C6" s="3" t="s">
        <v>125</v>
      </c>
    </row>
    <row r="7" customFormat="false" ht="15" hidden="false" customHeight="true" outlineLevel="0" collapsed="false">
      <c r="A7" s="4" t="s">
        <v>126</v>
      </c>
      <c r="B7" s="12" t="n">
        <v>300000</v>
      </c>
    </row>
    <row r="8" customFormat="false" ht="15" hidden="false" customHeight="true" outlineLevel="0" collapsed="false">
      <c r="A8" s="4" t="s">
        <v>127</v>
      </c>
      <c r="B8" s="35" t="n">
        <f aca="false">SUM(B4:B7)</f>
        <v>5700000</v>
      </c>
    </row>
    <row r="9" customFormat="false" ht="15" hidden="false" customHeight="true" outlineLevel="0" collapsed="false">
      <c r="A9" s="4" t="s">
        <v>128</v>
      </c>
      <c r="B9" s="14" t="n">
        <f aca="false">B8-Assumptions!B4</f>
        <v>0</v>
      </c>
    </row>
    <row r="11" customFormat="false" ht="15" hidden="false" customHeight="true" outlineLevel="0" collapsed="false">
      <c r="A11" s="3" t="s">
        <v>129</v>
      </c>
    </row>
    <row r="13" customFormat="false" ht="15" hidden="false" customHeight="true" outlineLevel="0" collapsed="false">
      <c r="A13" s="10" t="s">
        <v>130</v>
      </c>
      <c r="B13" s="11"/>
    </row>
    <row r="14" customFormat="false" ht="15" hidden="false" customHeight="true" outlineLevel="0" collapsed="false">
      <c r="A14" s="4" t="s">
        <v>131</v>
      </c>
      <c r="B14" s="12" t="n">
        <v>860000</v>
      </c>
    </row>
    <row r="15" customFormat="false" ht="15" hidden="false" customHeight="true" outlineLevel="0" collapsed="false">
      <c r="A15" s="4" t="s">
        <v>132</v>
      </c>
      <c r="B15" s="38" t="s">
        <v>133</v>
      </c>
    </row>
    <row r="16" customFormat="false" ht="15" hidden="false" customHeight="true" outlineLevel="0" collapsed="false">
      <c r="A16" s="4" t="s">
        <v>134</v>
      </c>
      <c r="B16" s="38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2026-06-10T16:22:42Z</dcterms:created>
  <dc:creator>openpyxl</dc:creator>
  <dc:description/>
  <dc:language>en-US</dc:language>
  <cp:lastModifiedBy/>
  <dcterms:modified xsi:type="dcterms:W3CDTF">2026-06-10T16:25:57Z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