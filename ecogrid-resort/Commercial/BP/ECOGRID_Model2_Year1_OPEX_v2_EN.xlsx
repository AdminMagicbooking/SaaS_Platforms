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APEX &amp; Funding" sheetId="3" state="visible" r:id="rId5"/>
    <sheet name="OPEX Year 1" sheetId="4" state="visible" r:id="rId6"/>
    <sheet name="Tier 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<sst xmlns="http://schemas.openxmlformats.org/spreadsheetml/2006/main" count="153" uniqueCount="150">
  <si>
    <t xml:space="preserve">ECOGRID RESORT | SmartGrid Model 2 - Year 1 OPEX</t>
  </si>
  <si>
    <t xml:space="preserve">Corsica Pilot XL | Conservative Savings Scenario: 500,000 EUR/yr</t>
  </si>
  <si>
    <t xml:space="preserve">Indicator</t>
  </si>
  <si>
    <t xml:space="preserve">Value</t>
  </si>
  <si>
    <t xml:space="preserve">Notes</t>
  </si>
  <si>
    <t xml:space="preserve">Annual savings (client)</t>
  </si>
  <si>
    <t xml:space="preserve">500,000 EUR</t>
  </si>
  <si>
    <t xml:space="preserve">Conservative floor XL site</t>
  </si>
  <si>
    <t xml:space="preserve">SG Revenue share (60%)</t>
  </si>
  <si>
    <t xml:space="preserve">300,000 EUR/yr</t>
  </si>
  <si>
    <t xml:space="preserve">Ref: Assumptions B11</t>
  </si>
  <si>
    <t xml:space="preserve">Net CAPEX invested</t>
  </si>
  <si>
    <t xml:space="preserve">4,845,000 EUR</t>
  </si>
  <si>
    <t xml:space="preserve">After 15% public aids</t>
  </si>
  <si>
    <t xml:space="preserve">Payback period</t>
  </si>
  <si>
    <t xml:space="preserve">16.4 yrs</t>
  </si>
  <si>
    <t xml:space="preserve">WARNING: EXCEEDS 15-YR CONTRACT</t>
  </si>
  <si>
    <t xml:space="preserve">Contract duration</t>
  </si>
  <si>
    <t xml:space="preserve">15 yrs</t>
  </si>
  <si>
    <t xml:space="preserve">15-yr total income</t>
  </si>
  <si>
    <t xml:space="preserve">4,425,000 EUR</t>
  </si>
  <si>
    <t xml:space="preserve">300k x 15 yrs</t>
  </si>
  <si>
    <t xml:space="preserve">15-yr net result</t>
  </si>
  <si>
    <t xml:space="preserve">-420,000 EUR</t>
  </si>
  <si>
    <t xml:space="preserve">NOT VIABLE AT XL 500k</t>
  </si>
  <si>
    <t xml:space="preserve">Year 1 OPEX (company)</t>
  </si>
  <si>
    <t xml:space="preserve">~1,210,000 EUR</t>
  </si>
  <si>
    <t xml:space="preserve">Investment phase</t>
  </si>
  <si>
    <t xml:space="preserve">VIABILITY ALERT: At 500k savings/yr, Model 2 XL payback is 16.4 years, exceeding the 15-year contract. Minimum savings for viability at 60% share: ~580,000. Model 2 recommended for M-size sites or when savings &gt;580k can be demonstrated.</t>
  </si>
  <si>
    <t xml:space="preserve">Section A - Site Economics</t>
  </si>
  <si>
    <t xml:space="preserve">Site name</t>
  </si>
  <si>
    <t xml:space="preserve">Corsica Pilot XL</t>
  </si>
  <si>
    <t xml:space="preserve">CAPEX base (EUR)</t>
  </si>
  <si>
    <t xml:space="preserve">Scale factor</t>
  </si>
  <si>
    <t xml:space="preserve">CAPEX this site</t>
  </si>
  <si>
    <t xml:space="preserve">Annual client savings (EUR)</t>
  </si>
  <si>
    <t xml:space="preserve">SmartGrid revenue share %</t>
  </si>
  <si>
    <t xml:space="preserve">SG revenue share income/yr</t>
  </si>
  <si>
    <t xml:space="preserve">SaaS fee/yr (EUR)</t>
  </si>
  <si>
    <t xml:space="preserve">Contract duration (yrs)</t>
  </si>
  <si>
    <t xml:space="preserve">Public aids %</t>
  </si>
  <si>
    <t xml:space="preserve">Net CAPEX after aids</t>
  </si>
  <si>
    <t xml:space="preserve">Section B - Financing</t>
  </si>
  <si>
    <t xml:space="preserve">Equity (EUR)</t>
  </si>
  <si>
    <t xml:space="preserve">Debt (loan) (EUR)</t>
  </si>
  <si>
    <t xml:space="preserve">Public aids (EUR)</t>
  </si>
  <si>
    <t xml:space="preserve">Leasing (EUR)</t>
  </si>
  <si>
    <t xml:space="preserve">Total financing</t>
  </si>
  <si>
    <t xml:space="preserve">Loan rate</t>
  </si>
  <si>
    <t xml:space="preserve">Loan term (yrs)</t>
  </si>
  <si>
    <t xml:space="preserve">Annual principal</t>
  </si>
  <si>
    <t xml:space="preserve">Year 1 interest</t>
  </si>
  <si>
    <t xml:space="preserve">Annual leasing</t>
  </si>
  <si>
    <t xml:space="preserve">Section C - Company OPEX</t>
  </si>
  <si>
    <t xml:space="preserve">Shareholders (count)</t>
  </si>
  <si>
    <t xml:space="preserve">Shareholder comp/mo (EUR)</t>
  </si>
  <si>
    <t xml:space="preserve">Staff (count)</t>
  </si>
  <si>
    <t xml:space="preserve">Staff salary/mo (EUR)</t>
  </si>
  <si>
    <t xml:space="preserve">Office/mo (EUR)</t>
  </si>
  <si>
    <t xml:space="preserve">Software licenses/yr (EUR)</t>
  </si>
  <si>
    <t xml:space="preserve">Marketing/mo (EUR)</t>
  </si>
  <si>
    <t xml:space="preserve">Marketing months</t>
  </si>
  <si>
    <t xml:space="preserve">Travel/yr (EUR)</t>
  </si>
  <si>
    <t xml:space="preserve">Legal/yr (EUR)</t>
  </si>
  <si>
    <t xml:space="preserve">Maintenance per unit/yr (EUR)</t>
  </si>
  <si>
    <t xml:space="preserve">Sites deployed Yr1</t>
  </si>
  <si>
    <t xml:space="preserve">Inflation rate</t>
  </si>
  <si>
    <t xml:space="preserve">CAPEX &amp; Funding Summary - Corsica Pilot XL</t>
  </si>
  <si>
    <t xml:space="preserve">Item</t>
  </si>
  <si>
    <t xml:space="preserve">Amount (EUR)</t>
  </si>
  <si>
    <t xml:space="preserve">% of CAPEX</t>
  </si>
  <si>
    <t xml:space="preserve">Total CAPEX</t>
  </si>
  <si>
    <t xml:space="preserve">Full system cost</t>
  </si>
  <si>
    <t xml:space="preserve">- Equity</t>
  </si>
  <si>
    <t xml:space="preserve">SmartGrid + partners</t>
  </si>
  <si>
    <t xml:space="preserve">- Debt (bank loan)</t>
  </si>
  <si>
    <t xml:space="preserve">20yr @ 4.5%</t>
  </si>
  <si>
    <t xml:space="preserve">- Public aids / grants</t>
  </si>
  <si>
    <t xml:space="preserve">15% est.</t>
  </si>
  <si>
    <t xml:space="preserve">- Leasing</t>
  </si>
  <si>
    <t xml:space="preserve">5yr equipment</t>
  </si>
  <si>
    <t xml:space="preserve">Net CAPEX (after aids)</t>
  </si>
  <si>
    <t xml:space="preserve">Key invested figure</t>
  </si>
  <si>
    <t xml:space="preserve">OPEX Year 1 — ECOGRID Model 2 | Corsica Pilot XL</t>
  </si>
  <si>
    <t xml:space="preserve">REVENUE</t>
  </si>
  <si>
    <t xml:space="preserve">Revenue share income (EUR)</t>
  </si>
  <si>
    <t xml:space="preserve">SaaS fees (EUR)</t>
  </si>
  <si>
    <t xml:space="preserve">TOTAL REVENUE</t>
  </si>
  <si>
    <t xml:space="preserve">COSTS</t>
  </si>
  <si>
    <t xml:space="preserve">Shareholders (5 x 5,000 x 12)</t>
  </si>
  <si>
    <t xml:space="preserve">Staff (3 x 3,000 x 12)</t>
  </si>
  <si>
    <t xml:space="preserve">Office (2,000 x 12)</t>
  </si>
  <si>
    <t xml:space="preserve">Software licenses</t>
  </si>
  <si>
    <t xml:space="preserve">Marketing (10,000 x 10 months)</t>
  </si>
  <si>
    <t xml:space="preserve">Travel</t>
  </si>
  <si>
    <t xml:space="preserve">Legal</t>
  </si>
  <si>
    <t xml:space="preserve">O&amp;M site (1 site)</t>
  </si>
  <si>
    <t xml:space="preserve">Debt service (principal + interest)</t>
  </si>
  <si>
    <t xml:space="preserve">Leasing</t>
  </si>
  <si>
    <t xml:space="preserve">TOTAL COSTS</t>
  </si>
  <si>
    <t xml:space="preserve">NET OPERATING RESULT</t>
  </si>
  <si>
    <t xml:space="preserve">Year 1 investment phase — expected negative</t>
  </si>
  <si>
    <t xml:space="preserve">Tier</t>
  </si>
  <si>
    <t xml:space="preserve">Solar kWp</t>
  </si>
  <si>
    <t xml:space="preserve">Storage MWh</t>
  </si>
  <si>
    <t xml:space="preserve">EV Chargers</t>
  </si>
  <si>
    <t xml:space="preserve">CAPEX (EUR)</t>
  </si>
  <si>
    <t xml:space="preserve">Client Savings/yr</t>
  </si>
  <si>
    <t xml:space="preserve">M1 Client Payback</t>
  </si>
  <si>
    <t xml:space="preserve">M2 SG Share (60%)</t>
  </si>
  <si>
    <t xml:space="preserve">M2 SG Payback</t>
  </si>
  <si>
    <t xml:space="preserve">M2 Viable?</t>
  </si>
  <si>
    <t xml:space="preserve">S</t>
  </si>
  <si>
    <t xml:space="preserve">50-80</t>
  </si>
  <si>
    <t xml:space="preserve">0.15-0.25</t>
  </si>
  <si>
    <t xml:space="preserve">2-4</t>
  </si>
  <si>
    <t xml:space="preserve">200k-350k</t>
  </si>
  <si>
    <t xml:space="preserve">12k-30k</t>
  </si>
  <si>
    <t xml:space="preserve">&gt;10 yrs</t>
  </si>
  <si>
    <t xml:space="preserve">7,200-18,000/yr</t>
  </si>
  <si>
    <t xml:space="preserve">&gt;15 yrs</t>
  </si>
  <si>
    <t xml:space="preserve">NOT VIABLE</t>
  </si>
  <si>
    <t xml:space="preserve">M</t>
  </si>
  <si>
    <t xml:space="preserve">250-350</t>
  </si>
  <si>
    <t xml:space="preserve">0.8-1.0</t>
  </si>
  <si>
    <t xml:space="preserve">6-10</t>
  </si>
  <si>
    <t xml:space="preserve">900k-1200k</t>
  </si>
  <si>
    <t xml:space="preserve">70k-130k</t>
  </si>
  <si>
    <t xml:space="preserve">8-13 yrs</t>
  </si>
  <si>
    <t xml:space="preserve">42k-78k/yr</t>
  </si>
  <si>
    <t xml:space="preserve">11.5-19 yrs</t>
  </si>
  <si>
    <t xml:space="preserve">MARGINAL</t>
  </si>
  <si>
    <t xml:space="preserve">L</t>
  </si>
  <si>
    <t xml:space="preserve">700-900</t>
  </si>
  <si>
    <t xml:space="preserve">2.1-2.7</t>
  </si>
  <si>
    <t xml:space="preserve">15-25</t>
  </si>
  <si>
    <t xml:space="preserve">2100k-2700k</t>
  </si>
  <si>
    <t xml:space="preserve">200k (cons.)</t>
  </si>
  <si>
    <t xml:space="preserve">12.5 yrs</t>
  </si>
  <si>
    <t xml:space="preserve">120k/yr</t>
  </si>
  <si>
    <t xml:space="preserve">17.5-22 yrs</t>
  </si>
  <si>
    <t xml:space="preserve">M1 PREFERRED</t>
  </si>
  <si>
    <t xml:space="preserve">XL</t>
  </si>
  <si>
    <t xml:space="preserve">1800-2200</t>
  </si>
  <si>
    <t xml:space="preserve">5.5-6.5</t>
  </si>
  <si>
    <t xml:space="preserve">30-50</t>
  </si>
  <si>
    <t xml:space="preserve">5200k-6300k</t>
  </si>
  <si>
    <t xml:space="preserve">500k (cons.)</t>
  </si>
  <si>
    <t xml:space="preserve">11.75 yrs</t>
  </si>
  <si>
    <t xml:space="preserve">300k/yr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</si>
</sst>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0%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E3A5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b val="true"/>
      <sz val="11"/>
      <color rgb="FFB8860B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1E3A5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CC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C5282"/>
        <bgColor rgb="FF1E3A5F"/>
      </patternFill>
    </fill>
    <fill>
      <patternFill patternType="solid">
        <fgColor rgb="FFE8F5E9"/>
        <bgColor rgb="FFDDEEFF"/>
      </patternFill>
    </fill>
    <fill>
      <patternFill patternType="solid">
        <fgColor rgb="FFFFCCCC"/>
        <bgColor rgb="FFCCCCFF"/>
      </patternFill>
    </fill>
    <fill>
      <patternFill patternType="solid">
        <fgColor rgb="FFFFF9C4"/>
        <bgColor rgb="FFFFFF99"/>
      </patternFill>
    </fill>
    <fill>
      <patternFill patternType="solid">
        <fgColor rgb="FFDDEEFF"/>
        <bgColor rgb="FFE8F5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9C4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0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0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0" t="s">
        <v>13</v>
      </c>
    </row>
    <row r="8" customFormat="false" ht="15" hidden="false" customHeight="false" outlineLevel="0" collapsed="false">
      <c r="A8" s="4" t="s">
        <v>14</v>
      </c>
      <c r="B8" s="6" t="s">
        <v>15</v>
      </c>
      <c r="C8" s="7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</row>
    <row r="10" customFormat="false" ht="15" hidden="false" customHeight="false" outlineLevel="0" collapsed="false">
      <c r="A10" s="4" t="s">
        <v>19</v>
      </c>
      <c r="B10" s="5" t="s">
        <v>20</v>
      </c>
      <c r="C10" s="0" t="s">
        <v>21</v>
      </c>
    </row>
    <row r="11" customFormat="false" ht="15" hidden="false" customHeight="false" outlineLevel="0" collapsed="false">
      <c r="A11" s="4" t="s">
        <v>22</v>
      </c>
      <c r="B11" s="6" t="s">
        <v>23</v>
      </c>
      <c r="C11" s="7" t="s">
        <v>24</v>
      </c>
    </row>
    <row r="12" customFormat="false" ht="15" hidden="false" customHeight="false" outlineLevel="0" collapsed="false">
      <c r="A12" s="4" t="s">
        <v>25</v>
      </c>
      <c r="B12" s="5" t="s">
        <v>26</v>
      </c>
      <c r="C12" s="0" t="s">
        <v>27</v>
      </c>
    </row>
    <row r="14" customFormat="false" ht="19.5" hidden="false" customHeight="true" outlineLevel="0" collapsed="false">
      <c r="A14" s="8" t="s">
        <v>28</v>
      </c>
      <c r="B14" s="8"/>
      <c r="C14" s="8"/>
    </row>
    <row r="15" customFormat="false" ht="19.5" hidden="false" customHeight="true" outlineLevel="0" collapsed="false">
      <c r="A15" s="8"/>
      <c r="B15" s="8"/>
      <c r="C15" s="8"/>
    </row>
    <row r="16" customFormat="false" ht="19.5" hidden="false" customHeight="true" outlineLevel="0" collapsed="false">
      <c r="A16" s="8"/>
      <c r="B16" s="8"/>
      <c r="C16" s="8"/>
    </row>
    <row r="17" customFormat="false" ht="19.5" hidden="false" customHeight="true" outlineLevel="0" collapsed="false">
      <c r="A17" s="8"/>
      <c r="B17" s="8"/>
      <c r="C17" s="8"/>
    </row>
  </sheetData>
  <mergeCells count="3">
    <mergeCell ref="A1:F1"/>
    <mergeCell ref="A2:F2"/>
    <mergeCell ref="A14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</cols>
  <sheetData>
    <row r="4" customFormat="false" ht="15" hidden="false" customHeight="false" outlineLevel="0" collapsed="false">
      <c r="A4" s="9" t="s">
        <v>29</v>
      </c>
      <c r="B4" s="9"/>
      <c r="C4" s="9"/>
    </row>
    <row r="5" customFormat="false" ht="15" hidden="false" customHeight="false" outlineLevel="0" collapsed="false">
      <c r="A5" s="4" t="s">
        <v>30</v>
      </c>
      <c r="B5" s="10" t="s">
        <v>31</v>
      </c>
    </row>
    <row r="6" customFormat="false" ht="15" hidden="false" customHeight="false" outlineLevel="0" collapsed="false">
      <c r="A6" s="4" t="s">
        <v>32</v>
      </c>
      <c r="B6" s="11" t="n">
        <v>5700000</v>
      </c>
    </row>
    <row r="7" customFormat="false" ht="15" hidden="false" customHeight="false" outlineLevel="0" collapsed="false">
      <c r="A7" s="4" t="s">
        <v>33</v>
      </c>
      <c r="B7" s="12" t="n">
        <v>1</v>
      </c>
    </row>
    <row r="8" customFormat="false" ht="15" hidden="false" customHeight="false" outlineLevel="0" collapsed="false">
      <c r="A8" s="4" t="s">
        <v>34</v>
      </c>
      <c r="B8" s="13" t="n">
        <f aca="false">B6*B7</f>
        <v>5700000</v>
      </c>
    </row>
    <row r="9" customFormat="false" ht="15" hidden="false" customHeight="false" outlineLevel="0" collapsed="false">
      <c r="A9" s="4" t="s">
        <v>35</v>
      </c>
      <c r="B9" s="11" t="n">
        <v>500000</v>
      </c>
    </row>
    <row r="10" customFormat="false" ht="15" hidden="false" customHeight="false" outlineLevel="0" collapsed="false">
      <c r="A10" s="4" t="s">
        <v>36</v>
      </c>
      <c r="B10" s="14" t="n">
        <v>0.6</v>
      </c>
    </row>
    <row r="11" customFormat="false" ht="15" hidden="false" customHeight="false" outlineLevel="0" collapsed="false">
      <c r="A11" s="4" t="s">
        <v>37</v>
      </c>
      <c r="B11" s="13" t="n">
        <f aca="false">B9*B10</f>
        <v>300000</v>
      </c>
    </row>
    <row r="12" customFormat="false" ht="15" hidden="false" customHeight="false" outlineLevel="0" collapsed="false">
      <c r="A12" s="4" t="s">
        <v>38</v>
      </c>
      <c r="B12" s="11" t="n">
        <v>5000</v>
      </c>
    </row>
    <row r="13" customFormat="false" ht="15" hidden="false" customHeight="false" outlineLevel="0" collapsed="false">
      <c r="A13" s="4" t="s">
        <v>39</v>
      </c>
      <c r="B13" s="15" t="n">
        <v>15</v>
      </c>
    </row>
    <row r="14" customFormat="false" ht="15" hidden="false" customHeight="false" outlineLevel="0" collapsed="false">
      <c r="A14" s="4" t="s">
        <v>40</v>
      </c>
      <c r="B14" s="14" t="n">
        <v>0.15</v>
      </c>
    </row>
    <row r="15" customFormat="false" ht="15" hidden="false" customHeight="false" outlineLevel="0" collapsed="false">
      <c r="A15" s="4" t="s">
        <v>41</v>
      </c>
      <c r="B15" s="13" t="n">
        <f aca="false">B8*(1-B14)</f>
        <v>4845000</v>
      </c>
    </row>
    <row r="17" customFormat="false" ht="15" hidden="false" customHeight="false" outlineLevel="0" collapsed="false">
      <c r="A17" s="9" t="s">
        <v>42</v>
      </c>
      <c r="B17" s="9"/>
      <c r="C17" s="9"/>
    </row>
    <row r="18" customFormat="false" ht="15" hidden="false" customHeight="false" outlineLevel="0" collapsed="false">
      <c r="A18" s="4" t="s">
        <v>43</v>
      </c>
      <c r="B18" s="11" t="n">
        <v>1400000</v>
      </c>
    </row>
    <row r="19" customFormat="false" ht="15" hidden="false" customHeight="false" outlineLevel="0" collapsed="false">
      <c r="A19" s="4" t="s">
        <v>44</v>
      </c>
      <c r="B19" s="11" t="n">
        <v>3400000</v>
      </c>
    </row>
    <row r="20" customFormat="false" ht="15" hidden="false" customHeight="false" outlineLevel="0" collapsed="false">
      <c r="A20" s="4" t="s">
        <v>45</v>
      </c>
      <c r="B20" s="11" t="n">
        <v>600000</v>
      </c>
    </row>
    <row r="21" customFormat="false" ht="15" hidden="false" customHeight="false" outlineLevel="0" collapsed="false">
      <c r="A21" s="4" t="s">
        <v>46</v>
      </c>
      <c r="B21" s="11" t="n">
        <v>300000</v>
      </c>
    </row>
    <row r="22" customFormat="false" ht="15" hidden="false" customHeight="false" outlineLevel="0" collapsed="false">
      <c r="A22" s="4" t="s">
        <v>47</v>
      </c>
      <c r="B22" s="13" t="n">
        <f aca="false">SUM(B18:B21)</f>
        <v>5700000</v>
      </c>
    </row>
    <row r="23" customFormat="false" ht="15" hidden="false" customHeight="false" outlineLevel="0" collapsed="false">
      <c r="A23" s="4" t="s">
        <v>48</v>
      </c>
      <c r="B23" s="14" t="n">
        <v>0.045</v>
      </c>
    </row>
    <row r="24" customFormat="false" ht="15" hidden="false" customHeight="false" outlineLevel="0" collapsed="false">
      <c r="A24" s="4" t="s">
        <v>49</v>
      </c>
      <c r="B24" s="15" t="n">
        <v>20</v>
      </c>
    </row>
    <row r="25" customFormat="false" ht="15" hidden="false" customHeight="false" outlineLevel="0" collapsed="false">
      <c r="A25" s="4" t="s">
        <v>50</v>
      </c>
      <c r="B25" s="13" t="n">
        <f aca="false">B19/B24</f>
        <v>170000</v>
      </c>
    </row>
    <row r="26" customFormat="false" ht="15" hidden="false" customHeight="false" outlineLevel="0" collapsed="false">
      <c r="A26" s="4" t="s">
        <v>51</v>
      </c>
      <c r="B26" s="13" t="n">
        <f aca="false">B19*B23</f>
        <v>153000</v>
      </c>
    </row>
    <row r="27" customFormat="false" ht="15" hidden="false" customHeight="false" outlineLevel="0" collapsed="false">
      <c r="A27" s="4" t="s">
        <v>52</v>
      </c>
      <c r="B27" s="13" t="n">
        <f aca="false">B21/5</f>
        <v>60000</v>
      </c>
    </row>
    <row r="29" customFormat="false" ht="15" hidden="false" customHeight="false" outlineLevel="0" collapsed="false">
      <c r="A29" s="9" t="s">
        <v>53</v>
      </c>
      <c r="B29" s="9"/>
      <c r="C29" s="9"/>
    </row>
    <row r="30" customFormat="false" ht="15" hidden="false" customHeight="false" outlineLevel="0" collapsed="false">
      <c r="A30" s="4" t="s">
        <v>54</v>
      </c>
      <c r="B30" s="15" t="n">
        <v>5</v>
      </c>
    </row>
    <row r="31" customFormat="false" ht="15" hidden="false" customHeight="false" outlineLevel="0" collapsed="false">
      <c r="A31" s="4" t="s">
        <v>55</v>
      </c>
      <c r="B31" s="11" t="n">
        <v>5000</v>
      </c>
    </row>
    <row r="32" customFormat="false" ht="15" hidden="false" customHeight="false" outlineLevel="0" collapsed="false">
      <c r="A32" s="4" t="s">
        <v>56</v>
      </c>
      <c r="B32" s="15" t="n">
        <v>3</v>
      </c>
    </row>
    <row r="33" customFormat="false" ht="15" hidden="false" customHeight="false" outlineLevel="0" collapsed="false">
      <c r="A33" s="4" t="s">
        <v>57</v>
      </c>
      <c r="B33" s="11" t="n">
        <v>3000</v>
      </c>
    </row>
    <row r="34" customFormat="false" ht="15" hidden="false" customHeight="false" outlineLevel="0" collapsed="false">
      <c r="A34" s="4" t="s">
        <v>58</v>
      </c>
      <c r="B34" s="11" t="n">
        <v>2000</v>
      </c>
    </row>
    <row r="35" customFormat="false" ht="15" hidden="false" customHeight="false" outlineLevel="0" collapsed="false">
      <c r="A35" s="4" t="s">
        <v>59</v>
      </c>
      <c r="B35" s="11" t="n">
        <v>250000</v>
      </c>
    </row>
    <row r="36" customFormat="false" ht="15" hidden="false" customHeight="false" outlineLevel="0" collapsed="false">
      <c r="A36" s="4" t="s">
        <v>60</v>
      </c>
      <c r="B36" s="11" t="n">
        <v>10000</v>
      </c>
    </row>
    <row r="37" customFormat="false" ht="15" hidden="false" customHeight="false" outlineLevel="0" collapsed="false">
      <c r="A37" s="4" t="s">
        <v>61</v>
      </c>
      <c r="B37" s="15" t="n">
        <v>10</v>
      </c>
    </row>
    <row r="38" customFormat="false" ht="15" hidden="false" customHeight="false" outlineLevel="0" collapsed="false">
      <c r="A38" s="4" t="s">
        <v>62</v>
      </c>
      <c r="B38" s="11" t="n">
        <v>5000</v>
      </c>
    </row>
    <row r="39" customFormat="false" ht="15" hidden="false" customHeight="false" outlineLevel="0" collapsed="false">
      <c r="A39" s="4" t="s">
        <v>63</v>
      </c>
      <c r="B39" s="11" t="n">
        <v>30000</v>
      </c>
    </row>
    <row r="40" customFormat="false" ht="15" hidden="false" customHeight="false" outlineLevel="0" collapsed="false">
      <c r="A40" s="4" t="s">
        <v>64</v>
      </c>
      <c r="B40" s="11" t="n">
        <v>10000</v>
      </c>
    </row>
    <row r="41" customFormat="false" ht="15" hidden="false" customHeight="false" outlineLevel="0" collapsed="false">
      <c r="A41" s="4" t="s">
        <v>65</v>
      </c>
      <c r="B41" s="15" t="n">
        <v>1</v>
      </c>
    </row>
    <row r="42" customFormat="false" ht="15" hidden="false" customHeight="false" outlineLevel="0" collapsed="false">
      <c r="A42" s="4" t="s">
        <v>66</v>
      </c>
      <c r="B42" s="14" t="n">
        <v>0.02</v>
      </c>
    </row>
  </sheetData>
  <mergeCells count="3">
    <mergeCell ref="A4:C4"/>
    <mergeCell ref="A17:C17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6" t="s">
        <v>67</v>
      </c>
      <c r="B1" s="16"/>
      <c r="C1" s="16"/>
      <c r="D1" s="16"/>
    </row>
    <row r="3" customFormat="false" ht="15" hidden="false" customHeight="false" outlineLevel="0" collapsed="false">
      <c r="A3" s="3" t="s">
        <v>68</v>
      </c>
      <c r="B3" s="3" t="s">
        <v>69</v>
      </c>
      <c r="C3" s="3" t="s">
        <v>70</v>
      </c>
      <c r="D3" s="3" t="s">
        <v>4</v>
      </c>
    </row>
    <row r="4" customFormat="false" ht="15" hidden="false" customHeight="false" outlineLevel="0" collapsed="false">
      <c r="A4" s="0" t="s">
        <v>71</v>
      </c>
      <c r="B4" s="13" t="n">
        <f aca="false">Assumptions!B8</f>
        <v>5700000</v>
      </c>
      <c r="C4" s="17" t="n">
        <f aca="false">B4/Assumptions!B8</f>
        <v>1</v>
      </c>
      <c r="D4" s="0" t="s">
        <v>72</v>
      </c>
    </row>
    <row r="5" customFormat="false" ht="15" hidden="false" customHeight="false" outlineLevel="0" collapsed="false">
      <c r="A5" s="0" t="s">
        <v>73</v>
      </c>
      <c r="B5" s="13" t="n">
        <f aca="false">Assumptions!B18</f>
        <v>1400000</v>
      </c>
      <c r="C5" s="17" t="n">
        <f aca="false">B5/Assumptions!B8</f>
        <v>0.245614035087719</v>
      </c>
      <c r="D5" s="0" t="s">
        <v>74</v>
      </c>
    </row>
    <row r="6" customFormat="false" ht="15" hidden="false" customHeight="false" outlineLevel="0" collapsed="false">
      <c r="A6" s="0" t="s">
        <v>75</v>
      </c>
      <c r="B6" s="13" t="n">
        <f aca="false">Assumptions!B19</f>
        <v>3400000</v>
      </c>
      <c r="C6" s="17" t="n">
        <f aca="false">B6/Assumptions!B8</f>
        <v>0.596491228070175</v>
      </c>
      <c r="D6" s="0" t="s">
        <v>76</v>
      </c>
    </row>
    <row r="7" customFormat="false" ht="15" hidden="false" customHeight="false" outlineLevel="0" collapsed="false">
      <c r="A7" s="0" t="s">
        <v>77</v>
      </c>
      <c r="B7" s="13" t="n">
        <f aca="false">Assumptions!B20</f>
        <v>600000</v>
      </c>
      <c r="C7" s="17" t="n">
        <f aca="false">B7/Assumptions!B8</f>
        <v>0.105263157894737</v>
      </c>
      <c r="D7" s="0" t="s">
        <v>78</v>
      </c>
    </row>
    <row r="8" customFormat="false" ht="15" hidden="false" customHeight="false" outlineLevel="0" collapsed="false">
      <c r="A8" s="0" t="s">
        <v>79</v>
      </c>
      <c r="B8" s="13" t="n">
        <f aca="false">Assumptions!B21</f>
        <v>300000</v>
      </c>
      <c r="C8" s="17" t="n">
        <f aca="false">B8/Assumptions!B8</f>
        <v>0.0526315789473684</v>
      </c>
      <c r="D8" s="0" t="s">
        <v>80</v>
      </c>
    </row>
    <row r="9" customFormat="false" ht="15" hidden="false" customHeight="false" outlineLevel="0" collapsed="false">
      <c r="A9" s="0" t="s">
        <v>81</v>
      </c>
      <c r="B9" s="13" t="n">
        <f aca="false">Assumptions!B15</f>
        <v>4845000</v>
      </c>
      <c r="C9" s="17" t="n">
        <f aca="false">B9/Assumptions!B8</f>
        <v>0.85</v>
      </c>
      <c r="D9" s="0" t="s">
        <v>82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27.75" hidden="false" customHeight="true" outlineLevel="0" collapsed="false">
      <c r="A1" s="18" t="s">
        <v>83</v>
      </c>
      <c r="B1" s="18"/>
      <c r="C1" s="18"/>
      <c r="D1" s="18"/>
    </row>
    <row r="3" customFormat="false" ht="15" hidden="false" customHeight="false" outlineLevel="0" collapsed="false">
      <c r="A3" s="9" t="s">
        <v>84</v>
      </c>
      <c r="B3" s="9"/>
      <c r="C3" s="9"/>
    </row>
    <row r="4" customFormat="false" ht="15" hidden="false" customHeight="false" outlineLevel="0" collapsed="false">
      <c r="A4" s="4" t="s">
        <v>85</v>
      </c>
      <c r="C4" s="13" t="n">
        <f aca="false">Assumptions!B11</f>
        <v>300000</v>
      </c>
    </row>
    <row r="5" customFormat="false" ht="15" hidden="false" customHeight="false" outlineLevel="0" collapsed="false">
      <c r="A5" s="4" t="s">
        <v>86</v>
      </c>
      <c r="C5" s="13" t="n">
        <f aca="false">Assumptions!B12</f>
        <v>5000</v>
      </c>
    </row>
    <row r="6" customFormat="false" ht="15" hidden="false" customHeight="false" outlineLevel="0" collapsed="false">
      <c r="A6" s="19" t="s">
        <v>87</v>
      </c>
      <c r="C6" s="20" t="n">
        <f aca="false">SUM(C4:C5)</f>
        <v>305000</v>
      </c>
    </row>
    <row r="8" customFormat="false" ht="15" hidden="false" customHeight="false" outlineLevel="0" collapsed="false">
      <c r="A8" s="9" t="s">
        <v>88</v>
      </c>
      <c r="B8" s="9"/>
      <c r="C8" s="9"/>
    </row>
    <row r="9" customFormat="false" ht="15" hidden="false" customHeight="false" outlineLevel="0" collapsed="false">
      <c r="A9" s="4" t="s">
        <v>89</v>
      </c>
      <c r="C9" s="13" t="n">
        <f aca="false">Assumptions!B30*Assumptions!B31*12</f>
        <v>300000</v>
      </c>
    </row>
    <row r="10" customFormat="false" ht="15" hidden="false" customHeight="false" outlineLevel="0" collapsed="false">
      <c r="A10" s="4" t="s">
        <v>90</v>
      </c>
      <c r="C10" s="13" t="n">
        <f aca="false">Assumptions!B32*Assumptions!B33*12</f>
        <v>108000</v>
      </c>
    </row>
    <row r="11" customFormat="false" ht="15" hidden="false" customHeight="false" outlineLevel="0" collapsed="false">
      <c r="A11" s="4" t="s">
        <v>91</v>
      </c>
      <c r="C11" s="13" t="n">
        <f aca="false">Assumptions!B34*12</f>
        <v>24000</v>
      </c>
    </row>
    <row r="12" customFormat="false" ht="15" hidden="false" customHeight="false" outlineLevel="0" collapsed="false">
      <c r="A12" s="4" t="s">
        <v>92</v>
      </c>
      <c r="C12" s="13" t="n">
        <f aca="false">Assumptions!B35</f>
        <v>250000</v>
      </c>
    </row>
    <row r="13" customFormat="false" ht="15" hidden="false" customHeight="false" outlineLevel="0" collapsed="false">
      <c r="A13" s="4" t="s">
        <v>93</v>
      </c>
      <c r="C13" s="13" t="n">
        <f aca="false">Assumptions!B36*Assumptions!B37</f>
        <v>100000</v>
      </c>
    </row>
    <row r="14" customFormat="false" ht="15" hidden="false" customHeight="false" outlineLevel="0" collapsed="false">
      <c r="A14" s="4" t="s">
        <v>94</v>
      </c>
      <c r="C14" s="13" t="n">
        <f aca="false">Assumptions!B38</f>
        <v>5000</v>
      </c>
    </row>
    <row r="15" customFormat="false" ht="15" hidden="false" customHeight="false" outlineLevel="0" collapsed="false">
      <c r="A15" s="4" t="s">
        <v>95</v>
      </c>
      <c r="C15" s="13" t="n">
        <f aca="false">Assumptions!B39</f>
        <v>30000</v>
      </c>
    </row>
    <row r="16" customFormat="false" ht="15" hidden="false" customHeight="false" outlineLevel="0" collapsed="false">
      <c r="A16" s="4" t="s">
        <v>96</v>
      </c>
      <c r="C16" s="13" t="n">
        <f aca="false">Assumptions!B40*Assumptions!B41</f>
        <v>10000</v>
      </c>
    </row>
    <row r="17" customFormat="false" ht="15" hidden="false" customHeight="false" outlineLevel="0" collapsed="false">
      <c r="A17" s="4" t="s">
        <v>97</v>
      </c>
      <c r="C17" s="13" t="n">
        <f aca="false">Assumptions!B25+Assumptions!B26</f>
        <v>323000</v>
      </c>
    </row>
    <row r="18" customFormat="false" ht="15" hidden="false" customHeight="false" outlineLevel="0" collapsed="false">
      <c r="A18" s="4" t="s">
        <v>98</v>
      </c>
      <c r="C18" s="13" t="n">
        <f aca="false">Assumptions!B27</f>
        <v>60000</v>
      </c>
    </row>
    <row r="19" customFormat="false" ht="15" hidden="false" customHeight="false" outlineLevel="0" collapsed="false">
      <c r="A19" s="19" t="s">
        <v>99</v>
      </c>
      <c r="C19" s="20" t="n">
        <f aca="false">SUM(C9:C18)</f>
        <v>1210000</v>
      </c>
    </row>
    <row r="21" customFormat="false" ht="15" hidden="false" customHeight="false" outlineLevel="0" collapsed="false">
      <c r="A21" s="21" t="s">
        <v>100</v>
      </c>
      <c r="C21" s="22" t="n">
        <f aca="false">C6-C19</f>
        <v>-905000</v>
      </c>
      <c r="D21" s="23" t="s">
        <v>101</v>
      </c>
    </row>
  </sheetData>
  <mergeCells count="3">
    <mergeCell ref="A1:D1"/>
    <mergeCell ref="A3:C3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4"/>
    <col collapsed="false" customWidth="true" hidden="false" outlineLevel="0" max="7" min="5" style="0" width="18"/>
    <col collapsed="false" customWidth="true" hidden="false" outlineLevel="0" max="8" min="8" style="0" width="20"/>
    <col collapsed="false" customWidth="true" hidden="false" outlineLevel="0" max="10" min="9" style="0" width="16"/>
  </cols>
  <sheetData>
    <row r="1" customFormat="false" ht="15" hidden="false" customHeight="false" outlineLevel="0" collapsed="false">
      <c r="A1" s="3" t="s">
        <v>102</v>
      </c>
      <c r="B1" s="3" t="s">
        <v>103</v>
      </c>
      <c r="C1" s="3" t="s">
        <v>104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" t="s">
        <v>111</v>
      </c>
    </row>
    <row r="2" customFormat="false" ht="15" hidden="false" customHeight="false" outlineLevel="0" collapsed="false">
      <c r="A2" s="24" t="s">
        <v>112</v>
      </c>
      <c r="B2" s="24" t="s">
        <v>113</v>
      </c>
      <c r="C2" s="24" t="s">
        <v>114</v>
      </c>
      <c r="D2" s="24" t="s">
        <v>115</v>
      </c>
      <c r="E2" s="24" t="s">
        <v>116</v>
      </c>
      <c r="F2" s="24" t="s">
        <v>117</v>
      </c>
      <c r="G2" s="24" t="s">
        <v>118</v>
      </c>
      <c r="H2" s="24" t="s">
        <v>119</v>
      </c>
      <c r="I2" s="24" t="s">
        <v>120</v>
      </c>
      <c r="J2" s="25" t="s">
        <v>121</v>
      </c>
    </row>
    <row r="3" customFormat="false" ht="15" hidden="false" customHeight="false" outlineLevel="0" collapsed="false">
      <c r="A3" s="24" t="s">
        <v>122</v>
      </c>
      <c r="B3" s="24" t="s">
        <v>123</v>
      </c>
      <c r="C3" s="24" t="s">
        <v>124</v>
      </c>
      <c r="D3" s="24" t="s">
        <v>125</v>
      </c>
      <c r="E3" s="24" t="s">
        <v>126</v>
      </c>
      <c r="F3" s="24" t="s">
        <v>127</v>
      </c>
      <c r="G3" s="24" t="s">
        <v>128</v>
      </c>
      <c r="H3" s="24" t="s">
        <v>129</v>
      </c>
      <c r="I3" s="24" t="s">
        <v>130</v>
      </c>
      <c r="J3" s="26" t="s">
        <v>131</v>
      </c>
    </row>
    <row r="4" customFormat="false" ht="15" hidden="false" customHeight="false" outlineLevel="0" collapsed="false">
      <c r="A4" s="24" t="s">
        <v>132</v>
      </c>
      <c r="B4" s="24" t="s">
        <v>133</v>
      </c>
      <c r="C4" s="24" t="s">
        <v>134</v>
      </c>
      <c r="D4" s="24" t="s">
        <v>135</v>
      </c>
      <c r="E4" s="24" t="s">
        <v>136</v>
      </c>
      <c r="F4" s="24" t="s">
        <v>137</v>
      </c>
      <c r="G4" s="24" t="s">
        <v>138</v>
      </c>
      <c r="H4" s="24" t="s">
        <v>139</v>
      </c>
      <c r="I4" s="24" t="s">
        <v>140</v>
      </c>
      <c r="J4" s="27" t="s">
        <v>141</v>
      </c>
    </row>
    <row r="5" customFormat="false" ht="15" hidden="false" customHeight="false" outlineLevel="0" collapsed="false">
      <c r="A5" s="24" t="s">
        <v>142</v>
      </c>
      <c r="B5" s="24" t="s">
        <v>143</v>
      </c>
      <c r="C5" s="24" t="s">
        <v>144</v>
      </c>
      <c r="D5" s="24" t="s">
        <v>145</v>
      </c>
      <c r="E5" s="24" t="s">
        <v>146</v>
      </c>
      <c r="F5" s="24" t="s">
        <v>147</v>
      </c>
      <c r="G5" s="24" t="s">
        <v>148</v>
      </c>
      <c r="H5" s="24" t="s">
        <v>149</v>
      </c>
      <c r="I5" s="24" t="s">
        <v>15</v>
      </c>
      <c r="J5" s="27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2026-06-17T11:09:11Z</dcterms:created>
  <dc:creator>openpyxl</dc:creator>
  <dc:description/>
  <dc:language>en-US</dc:language>
  <cp:lastModifiedBy/>
  <dcterms:modified xsi:type="dcterms:W3CDTF">2026-06-17T11:09:11Z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