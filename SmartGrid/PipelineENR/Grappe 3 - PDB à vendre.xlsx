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--EXPLOITATION\--SMART GRID\Pipe à vendre\"/>
    </mc:Choice>
  </mc:AlternateContent>
  <xr:revisionPtr revIDLastSave="0" documentId="13_ncr:1_{E1957979-0F0A-4B6C-A697-DC83A1B2C2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EFEUILLE PROJETS" sheetId="1" r:id="rId1"/>
  </sheets>
  <definedNames>
    <definedName name="_xlnm._FilterDatabase" localSheetId="0" hidden="1">'PORTEFEUILLE PROJETS'!$A$5:$AA$10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1" l="1"/>
  <c r="P11" i="1"/>
  <c r="N11" i="1"/>
  <c r="M11" i="1"/>
  <c r="L11" i="1"/>
  <c r="E11" i="1"/>
  <c r="Z11" i="1"/>
  <c r="Y11" i="1"/>
</calcChain>
</file>

<file path=xl/sharedStrings.xml><?xml version="1.0" encoding="utf-8"?>
<sst xmlns="http://schemas.openxmlformats.org/spreadsheetml/2006/main" count="148" uniqueCount="117">
  <si>
    <t>IDENTIFICATION</t>
  </si>
  <si>
    <t>TECHNIQUE</t>
  </si>
  <si>
    <t>STATUT &amp; URBANISME</t>
  </si>
  <si>
    <t>CRD RACCORDEMENT</t>
  </si>
  <si>
    <t>INVESTISSEMENTS RÉALISÉS</t>
  </si>
  <si>
    <t>CONDITIONS</t>
  </si>
  <si>
    <t>T0 / TRAVAUX (délais impératifs)</t>
  </si>
  <si>
    <t>ZONAGE</t>
  </si>
  <si>
    <t>DESCRIPTIF PROJET</t>
  </si>
  <si>
    <t>PROPOSITION DE RACHAT — À COMPLÉTER PAR L'ACQUÉREUR</t>
  </si>
  <si>
    <t>Client</t>
  </si>
  <si>
    <t>PVB</t>
  </si>
  <si>
    <t>Dpt</t>
  </si>
  <si>
    <t>Type</t>
  </si>
  <si>
    <t>kWc</t>
  </si>
  <si>
    <t>MWh
P50</t>
  </si>
  <si>
    <t>Tarif
c€/kWh</t>
  </si>
  <si>
    <t>Statut projet</t>
  </si>
  <si>
    <t>Statut PC /
Urbanisme</t>
  </si>
  <si>
    <t>Durée
bail</t>
  </si>
  <si>
    <t>CRD
validée</t>
  </si>
  <si>
    <t>Montant
CRD HT</t>
  </si>
  <si>
    <t>Acompte CRD
versé HT</t>
  </si>
  <si>
    <t>Études
investies HT</t>
  </si>
  <si>
    <t>Total frais
engagés HT</t>
  </si>
  <si>
    <t>Loyer / Soulte
propriétaire</t>
  </si>
  <si>
    <t>Raccordement
estimé</t>
  </si>
  <si>
    <t>Prestation client</t>
  </si>
  <si>
    <t>Mise en exploit.
transfo (T0)</t>
  </si>
  <si>
    <t>Perte du T0
(T0 +24 mois)</t>
  </si>
  <si>
    <t>Démarrage travaux
max (PC +3 ans)</t>
  </si>
  <si>
    <t>Zonage</t>
  </si>
  <si>
    <t>Descriptif &amp; prestations attendues du repreneur</t>
  </si>
  <si>
    <t>Acheteur /
Repreneur</t>
  </si>
  <si>
    <t>Offre de rachat
projet (€ HT)</t>
  </si>
  <si>
    <t>Acompte proposé
à la signature</t>
  </si>
  <si>
    <t>Conditions de paiement / échéancier proposé</t>
  </si>
  <si>
    <t>33</t>
  </si>
  <si>
    <t>BAC</t>
  </si>
  <si>
    <t>35 ans</t>
  </si>
  <si>
    <t>Agricole</t>
  </si>
  <si>
    <t>CIRET</t>
  </si>
  <si>
    <t>PVB 092541</t>
  </si>
  <si>
    <t>324</t>
  </si>
  <si>
    <t>1 183</t>
  </si>
  <si>
    <t>11,28</t>
  </si>
  <si>
    <t>Bail signé</t>
  </si>
  <si>
    <t>BAIL SIGNÉ</t>
  </si>
  <si>
    <t>OUI</t>
  </si>
  <si>
    <t>11 689 €</t>
  </si>
  <si>
    <t>4 503 €</t>
  </si>
  <si>
    <t>14 623 €</t>
  </si>
  <si>
    <t>Tranchée</t>
  </si>
  <si>
    <t>30/09/2024</t>
  </si>
  <si>
    <t>01/09/2026</t>
  </si>
  <si>
    <t>19/09/2026</t>
  </si>
  <si>
    <t>Hangar — BAC 60*30 (30 sans poteau, pas de bardage)</t>
  </si>
  <si>
    <t>MANSEAU 1</t>
  </si>
  <si>
    <t>PVB 092516</t>
  </si>
  <si>
    <t>375</t>
  </si>
  <si>
    <t>1 147</t>
  </si>
  <si>
    <t>11,71</t>
  </si>
  <si>
    <t>PC accepté + Tarif Déposé</t>
  </si>
  <si>
    <t>PC ACCEPTÉ</t>
  </si>
  <si>
    <t>20 488 €</t>
  </si>
  <si>
    <t>12 306 €</t>
  </si>
  <si>
    <t>19 166 €</t>
  </si>
  <si>
    <t>regie local?</t>
  </si>
  <si>
    <t>31/01/2027</t>
  </si>
  <si>
    <t>Hangar — BAC 60*30 (15+15) Bardage 3 Faces — Pas de levée d'hypothèque</t>
  </si>
  <si>
    <t>LAPORTE</t>
  </si>
  <si>
    <t>PVB 093949</t>
  </si>
  <si>
    <t>EMP</t>
  </si>
  <si>
    <t>440</t>
  </si>
  <si>
    <t>1 014</t>
  </si>
  <si>
    <t>11,07</t>
  </si>
  <si>
    <t>DC accepté</t>
  </si>
  <si>
    <t>DC ACCEPTÉ</t>
  </si>
  <si>
    <t>5 113 €</t>
  </si>
  <si>
    <t>2 451 €</t>
  </si>
  <si>
    <t>13 521 €</t>
  </si>
  <si>
    <t>24/02/2025</t>
  </si>
  <si>
    <t>01/02/2027</t>
  </si>
  <si>
    <t>08/04/2028</t>
  </si>
  <si>
    <t>Rénovation — Désamiantage, recouvertur refort</t>
  </si>
  <si>
    <t>VOISIN</t>
  </si>
  <si>
    <t>PVB 096579</t>
  </si>
  <si>
    <t>16</t>
  </si>
  <si>
    <t>307</t>
  </si>
  <si>
    <t>1 010</t>
  </si>
  <si>
    <t>11,41</t>
  </si>
  <si>
    <t>24 788 €</t>
  </si>
  <si>
    <t>5 580 €</t>
  </si>
  <si>
    <t>14 491 €</t>
  </si>
  <si>
    <t>10/07/2025</t>
  </si>
  <si>
    <t>01/07/2027</t>
  </si>
  <si>
    <t>21/06/2027</t>
  </si>
  <si>
    <t>Hangar — BAC 90*20 (une face bardée)</t>
  </si>
  <si>
    <t>GENEAU DE LAMARLIERE 1</t>
  </si>
  <si>
    <t>PVB 100572</t>
  </si>
  <si>
    <t>47</t>
  </si>
  <si>
    <t>370</t>
  </si>
  <si>
    <t>1 129</t>
  </si>
  <si>
    <t>3 319 €</t>
  </si>
  <si>
    <t>1 991 €</t>
  </si>
  <si>
    <t>3 300 €</t>
  </si>
  <si>
    <t>90 000 €</t>
  </si>
  <si>
    <t>16/10/2024</t>
  </si>
  <si>
    <t>16/10/2026</t>
  </si>
  <si>
    <t>15/02/2027</t>
  </si>
  <si>
    <t>Rénovation — Bacacier 2220m² — Etude isopoids et structure ok + dp ok purgée, prévoir rendort de stabilité.</t>
  </si>
  <si>
    <t>TOTAL PORTEFEUILLE</t>
  </si>
  <si>
    <t>TOTAL OFFRES</t>
  </si>
  <si>
    <t>Notes de lecture — Tarifs exprimés en c€/kWh, renseignés lorsque le tarif est déposé ou la CRD validée. Statut PC / Urbanisme : « PC À DÉPOSER » signifie promesse de bail signée sans dépôt à ce jour. T0 : la mise en exploitation du transformateur ouvre un délai de 24 mois maximum avant perte du T0. Démarrage des travaux : limite = date d accord du permis de construire + 3 ans. Les montants CRD, acomptes et études correspondent aux sommes déjà engagées par Starlight Data sur chaque dossier. Colonnes PROPOSITION DE RACHAT à compléter par l acquéreur : les totaux des offres et acomptes se calculent automatiquement.</t>
  </si>
  <si>
    <t xml:space="preserve"> PORTEFEUILLE DE PROJETS PHOTOVOLTAÏQUES</t>
  </si>
  <si>
    <t>Dossier de présentation aux acquéreurs  ·    ·  Situation vérifiée au 16/07/2026</t>
  </si>
  <si>
    <t>4 projets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</si>
</sst>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\ ##0\ &quot;€&quot;"/>
  </numFmts>
  <fonts count="3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1"/>
      <color rgb="FFCBD5E1"/>
      <name val="Calibri"/>
      <family val="2"/>
    </font>
    <font>
      <b/>
      <sz val="11"/>
      <color rgb="FF1D4ED8"/>
      <name val="Calibri"/>
      <family val="2"/>
    </font>
    <font>
      <b/>
      <sz val="11"/>
      <color rgb="FF065F46"/>
      <name val="Calibri"/>
      <family val="2"/>
    </font>
    <font>
      <b/>
      <sz val="11"/>
      <color rgb="FF92400E"/>
      <name val="Calibri"/>
      <family val="2"/>
    </font>
    <font>
      <b/>
      <sz val="11"/>
      <color rgb="FF334155"/>
      <name val="Calibri"/>
      <family val="2"/>
    </font>
    <font>
      <b/>
      <sz val="8"/>
      <color rgb="FFFFFFFF"/>
      <name val="Calibri"/>
      <family val="2"/>
    </font>
    <font>
      <b/>
      <sz val="9"/>
      <color rgb="FF1E293B"/>
      <name val="Calibri"/>
      <family val="2"/>
    </font>
    <font>
      <sz val="9"/>
      <color rgb="FF475569"/>
      <name val="Calibri"/>
      <family val="2"/>
    </font>
    <font>
      <b/>
      <sz val="9"/>
      <color rgb="FF0C4A6E"/>
      <name val="Calibri"/>
      <family val="2"/>
    </font>
    <font>
      <sz val="9"/>
      <color rgb="FF0C4A6E"/>
      <name val="Calibri"/>
      <family val="2"/>
    </font>
    <font>
      <b/>
      <sz val="9"/>
      <color rgb="FF064E3B"/>
      <name val="Calibri"/>
      <family val="2"/>
    </font>
    <font>
      <b/>
      <sz val="9"/>
      <color rgb="FF991B1B"/>
      <name val="Calibri"/>
      <family val="2"/>
    </font>
    <font>
      <sz val="9"/>
      <color rgb="FF334155"/>
      <name val="Calibri"/>
      <family val="2"/>
    </font>
    <font>
      <b/>
      <sz val="9"/>
      <color rgb="FF92400E"/>
      <name val="Calibri"/>
      <family val="2"/>
    </font>
    <font>
      <b/>
      <sz val="9"/>
      <color rgb="FF1A3A5C"/>
      <name val="Calibri"/>
      <family val="2"/>
    </font>
    <font>
      <sz val="9"/>
      <color rgb="FF64748B"/>
      <name val="Calibri"/>
      <family val="2"/>
    </font>
    <font>
      <sz val="9"/>
      <color rgb="FF7F1D1D"/>
      <name val="Calibri"/>
      <family val="2"/>
    </font>
    <font>
      <b/>
      <sz val="9"/>
      <color rgb="FF1D4ED8"/>
      <name val="Calibri"/>
      <family val="2"/>
    </font>
    <font>
      <b/>
      <sz val="9"/>
      <color rgb="FF166534"/>
      <name val="Calibri"/>
      <family val="2"/>
    </font>
    <font>
      <b/>
      <sz val="9"/>
      <color rgb="FF7F1D1D"/>
      <name val="Calibri"/>
      <family val="2"/>
    </font>
    <font>
      <b/>
      <sz val="10"/>
      <color rgb="FFFFFFFF"/>
      <name val="Calibri"/>
      <family val="2"/>
    </font>
    <font>
      <b/>
      <sz val="10"/>
      <color rgb="FFFDE68A"/>
      <name val="Calibri"/>
      <family val="2"/>
    </font>
    <font>
      <sz val="8"/>
      <color rgb="FF64748B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FDE68A"/>
      <name val="Calibri"/>
      <family val="2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ECFDF5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334155"/>
      </patternFill>
    </fill>
    <fill>
      <patternFill patternType="solid">
        <fgColor rgb="FF0C4A6E"/>
      </patternFill>
    </fill>
    <fill>
      <patternFill patternType="solid">
        <fgColor rgb="FF064E3B"/>
      </patternFill>
    </fill>
    <fill>
      <patternFill patternType="solid">
        <fgColor rgb="FF92400E"/>
      </patternFill>
    </fill>
    <fill>
      <patternFill patternType="solid">
        <fgColor rgb="FF1A3A5C"/>
      </patternFill>
    </fill>
    <fill>
      <patternFill patternType="solid">
        <fgColor rgb="FF475569"/>
      </patternFill>
    </fill>
    <fill>
      <patternFill patternType="solid">
        <fgColor rgb="FF7F1D1D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B45309"/>
      </patternFill>
    </fill>
    <fill>
      <patternFill patternType="solid">
        <fgColor rgb="FFFFFDF5"/>
      </patternFill>
    </fill>
    <fill>
      <patternFill patternType="solid">
        <fgColor rgb="FFFEF9EC"/>
      </patternFill>
    </fill>
    <fill>
      <patternFill patternType="solid">
        <fgColor rgb="FF0F172A"/>
      </patternFill>
    </fill>
  </fills>
  <borders count="4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  <border>
      <left/>
      <right/>
      <top style="thin">
        <color rgb="FFD5DBE3"/>
      </top>
      <bottom style="thin">
        <color rgb="FFD5DBE3"/>
      </bottom>
      <diagonal/>
    </border>
    <border>
      <left/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">
    <xf numFmtId="0" fontId="0" fillId="0" borderId="0"/>
    <xf numFmtId="44" fontId="29" fillId="0" borderId="0" applyFont="0" applyFill="0" applyBorder="0" applyAlignment="0" applyProtection="0"/>
  </cellStyleXfs>
  <cellXfs count="63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right" vertical="center"/>
    </xf>
    <xf numFmtId="0" fontId="16" fillId="15" borderId="1" xfId="0" applyFont="1" applyFill="1" applyBorder="1" applyAlignment="1">
      <alignment horizontal="right" vertical="center"/>
    </xf>
    <xf numFmtId="0" fontId="17" fillId="15" borderId="1" xfId="0" applyFont="1" applyFill="1" applyBorder="1" applyAlignment="1">
      <alignment horizontal="left" vertical="center" wrapText="1"/>
    </xf>
    <xf numFmtId="0" fontId="18" fillId="15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center" vertical="center"/>
    </xf>
    <xf numFmtId="0" fontId="10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right" vertical="center"/>
    </xf>
    <xf numFmtId="0" fontId="16" fillId="17" borderId="1" xfId="0" applyFont="1" applyFill="1" applyBorder="1" applyAlignment="1">
      <alignment horizontal="right" vertical="center"/>
    </xf>
    <xf numFmtId="0" fontId="17" fillId="17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 wrapText="1"/>
    </xf>
    <xf numFmtId="0" fontId="25" fillId="21" borderId="1" xfId="0" applyFont="1" applyFill="1" applyBorder="1" applyAlignment="1">
      <alignment horizontal="center" vertical="center" wrapText="1"/>
    </xf>
    <xf numFmtId="164" fontId="25" fillId="21" borderId="1" xfId="0" applyNumberFormat="1" applyFont="1" applyFill="1" applyBorder="1" applyAlignment="1">
      <alignment horizontal="right" vertical="center"/>
    </xf>
    <xf numFmtId="0" fontId="25" fillId="21" borderId="1" xfId="0" applyFont="1" applyFill="1" applyBorder="1" applyAlignment="1">
      <alignment horizontal="left" vertical="center" wrapText="1"/>
    </xf>
    <xf numFmtId="0" fontId="25" fillId="22" borderId="1" xfId="0" applyFont="1" applyFill="1" applyBorder="1" applyAlignment="1">
      <alignment horizontal="center" vertical="center" wrapText="1"/>
    </xf>
    <xf numFmtId="164" fontId="25" fillId="22" borderId="1" xfId="0" applyNumberFormat="1" applyFont="1" applyFill="1" applyBorder="1" applyAlignment="1">
      <alignment horizontal="right" vertical="center"/>
    </xf>
    <xf numFmtId="0" fontId="25" fillId="22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/>
    </xf>
    <xf numFmtId="164" fontId="23" fillId="2" borderId="1" xfId="0" applyNumberFormat="1" applyFont="1" applyFill="1" applyBorder="1" applyAlignment="1">
      <alignment horizontal="right" vertical="center"/>
    </xf>
    <xf numFmtId="0" fontId="25" fillId="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28" fillId="23" borderId="1" xfId="0" applyFont="1" applyFill="1" applyBorder="1" applyAlignment="1">
      <alignment horizontal="right" vertical="center"/>
    </xf>
    <xf numFmtId="0" fontId="27" fillId="23" borderId="1" xfId="0" applyFont="1" applyFill="1" applyBorder="1" applyAlignment="1">
      <alignment horizontal="right" vertical="center"/>
    </xf>
    <xf numFmtId="0" fontId="24" fillId="17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27" fillId="23" borderId="1" xfId="0" applyNumberFormat="1" applyFont="1" applyFill="1" applyBorder="1" applyAlignment="1">
      <alignment horizontal="center" vertical="center"/>
    </xf>
    <xf numFmtId="44" fontId="28" fillId="23" borderId="1" xfId="1" applyFont="1" applyFill="1" applyBorder="1" applyAlignment="1">
      <alignment horizontal="right" vertical="center"/>
    </xf>
    <xf numFmtId="44" fontId="27" fillId="23" borderId="1" xfId="1" applyFont="1" applyFill="1" applyBorder="1" applyAlignment="1">
      <alignment horizontal="right" vertical="center"/>
    </xf>
  </cellXfs>
  <cellStyles count="2">
    <cellStyle name="Monétaire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3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 activeCell="N18" sqref="N18"/>
    </sheetView>
  </sheetViews>
  <sheetFormatPr baseColWidth="10" defaultColWidth="9.140625" defaultRowHeight="15" x14ac:dyDescent="0.25"/>
  <cols>
    <col min="1" max="1" width="22" customWidth="1"/>
    <col min="2" max="2" width="11" customWidth="1"/>
    <col min="3" max="3" width="5" customWidth="1"/>
    <col min="4" max="4" width="9" customWidth="1"/>
    <col min="5" max="7" width="7" customWidth="1"/>
    <col min="8" max="8" width="10" customWidth="1"/>
    <col min="9" max="9" width="15" customWidth="1"/>
    <col min="10" max="10" width="11" customWidth="1"/>
    <col min="11" max="11" width="8" customWidth="1"/>
    <col min="12" max="12" width="12" customWidth="1"/>
    <col min="13" max="13" width="14" customWidth="1"/>
    <col min="14" max="14" width="12.7109375" customWidth="1"/>
    <col min="15" max="16" width="12" customWidth="1"/>
    <col min="17" max="17" width="14.28515625" customWidth="1"/>
    <col min="18" max="18" width="13" customWidth="1"/>
    <col min="19" max="20" width="11" customWidth="1"/>
    <col min="21" max="21" width="12" customWidth="1"/>
    <col min="22" max="22" width="9" customWidth="1"/>
    <col min="23" max="23" width="44" customWidth="1"/>
    <col min="24" max="24" width="13" customWidth="1"/>
    <col min="25" max="26" width="14" customWidth="1"/>
    <col min="27" max="27" width="38" customWidth="1"/>
  </cols>
  <sheetData>
    <row r="1" spans="1:27" ht="33.950000000000003" customHeight="1" x14ac:dyDescent="0.25">
      <c r="A1" s="46" t="s">
        <v>114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</row>
    <row r="2" spans="1:27" ht="20.100000000000001" customHeight="1" x14ac:dyDescent="0.25">
      <c r="A2" s="50" t="s">
        <v>115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5"/>
    </row>
    <row r="3" spans="1:27" ht="30" customHeight="1" x14ac:dyDescent="0.25">
      <c r="A3" s="55" t="s">
        <v>116</v>
      </c>
      <c r="B3" s="44"/>
      <c r="C3" s="44"/>
      <c r="D3" s="45"/>
      <c r="E3" s="57"/>
      <c r="F3" s="44"/>
      <c r="G3" s="45"/>
      <c r="H3" s="45"/>
      <c r="I3" s="44"/>
      <c r="J3" s="44"/>
      <c r="K3" s="44"/>
      <c r="L3" s="45"/>
      <c r="M3" s="59"/>
      <c r="N3" s="44"/>
      <c r="O3" s="44"/>
      <c r="P3" s="44"/>
      <c r="Q3" s="45"/>
      <c r="R3" s="49"/>
      <c r="S3" s="44"/>
      <c r="T3" s="44"/>
      <c r="U3" s="44"/>
      <c r="V3" s="44"/>
      <c r="W3" s="45"/>
    </row>
    <row r="4" spans="1:27" ht="15.95" customHeight="1" x14ac:dyDescent="0.25">
      <c r="A4" s="47" t="s">
        <v>0</v>
      </c>
      <c r="B4" s="44"/>
      <c r="C4" s="45"/>
      <c r="D4" s="48" t="s">
        <v>1</v>
      </c>
      <c r="E4" s="44"/>
      <c r="F4" s="44"/>
      <c r="G4" s="45"/>
      <c r="H4" s="54" t="s">
        <v>2</v>
      </c>
      <c r="I4" s="44"/>
      <c r="J4" s="45"/>
      <c r="K4" s="58" t="s">
        <v>3</v>
      </c>
      <c r="L4" s="45"/>
      <c r="M4" s="52" t="s">
        <v>4</v>
      </c>
      <c r="N4" s="44"/>
      <c r="O4" s="45"/>
      <c r="P4" s="56" t="s">
        <v>5</v>
      </c>
      <c r="Q4" s="44"/>
      <c r="R4" s="45"/>
      <c r="S4" s="53" t="s">
        <v>6</v>
      </c>
      <c r="T4" s="44"/>
      <c r="U4" s="45"/>
      <c r="V4" s="47" t="s">
        <v>7</v>
      </c>
      <c r="W4" s="48" t="s">
        <v>8</v>
      </c>
      <c r="X4" s="51" t="s">
        <v>9</v>
      </c>
      <c r="Y4" s="44"/>
      <c r="Z4" s="44"/>
      <c r="AA4" s="45"/>
    </row>
    <row r="5" spans="1:27" ht="50.1" customHeight="1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22</v>
      </c>
      <c r="N5" s="1" t="s">
        <v>23</v>
      </c>
      <c r="O5" s="1" t="s">
        <v>24</v>
      </c>
      <c r="P5" s="1" t="s">
        <v>25</v>
      </c>
      <c r="Q5" s="1" t="s">
        <v>26</v>
      </c>
      <c r="R5" s="1" t="s">
        <v>27</v>
      </c>
      <c r="S5" s="1" t="s">
        <v>28</v>
      </c>
      <c r="T5" s="1" t="s">
        <v>29</v>
      </c>
      <c r="U5" s="1" t="s">
        <v>30</v>
      </c>
      <c r="V5" s="1" t="s">
        <v>31</v>
      </c>
      <c r="W5" s="1" t="s">
        <v>32</v>
      </c>
      <c r="X5" s="30" t="s">
        <v>33</v>
      </c>
      <c r="Y5" s="30" t="s">
        <v>34</v>
      </c>
      <c r="Z5" s="30" t="s">
        <v>35</v>
      </c>
      <c r="AA5" s="30" t="s">
        <v>36</v>
      </c>
    </row>
    <row r="6" spans="1:27" ht="44.1" customHeight="1" x14ac:dyDescent="0.25">
      <c r="A6" s="13" t="s">
        <v>41</v>
      </c>
      <c r="B6" s="14" t="s">
        <v>42</v>
      </c>
      <c r="C6" s="14" t="s">
        <v>37</v>
      </c>
      <c r="D6" s="15" t="s">
        <v>38</v>
      </c>
      <c r="E6" s="15" t="s">
        <v>43</v>
      </c>
      <c r="F6" s="16" t="s">
        <v>44</v>
      </c>
      <c r="G6" s="17" t="s">
        <v>45</v>
      </c>
      <c r="H6" s="18" t="s">
        <v>46</v>
      </c>
      <c r="I6" s="19" t="s">
        <v>47</v>
      </c>
      <c r="J6" s="14" t="s">
        <v>39</v>
      </c>
      <c r="K6" s="20" t="s">
        <v>48</v>
      </c>
      <c r="L6" s="21" t="s">
        <v>49</v>
      </c>
      <c r="M6" s="21" t="s">
        <v>50</v>
      </c>
      <c r="N6" s="21" t="s">
        <v>51</v>
      </c>
      <c r="O6" s="22"/>
      <c r="P6" s="21"/>
      <c r="Q6" s="21" t="s">
        <v>49</v>
      </c>
      <c r="R6" s="23" t="s">
        <v>52</v>
      </c>
      <c r="S6" s="24" t="s">
        <v>53</v>
      </c>
      <c r="T6" s="7" t="s">
        <v>54</v>
      </c>
      <c r="U6" s="25" t="s">
        <v>55</v>
      </c>
      <c r="V6" s="14" t="s">
        <v>40</v>
      </c>
      <c r="W6" s="18" t="s">
        <v>56</v>
      </c>
      <c r="X6" s="34"/>
      <c r="Y6" s="35"/>
      <c r="Z6" s="35"/>
      <c r="AA6" s="36"/>
    </row>
    <row r="7" spans="1:27" ht="44.1" customHeight="1" x14ac:dyDescent="0.25">
      <c r="A7" s="2" t="s">
        <v>57</v>
      </c>
      <c r="B7" s="3" t="s">
        <v>58</v>
      </c>
      <c r="C7" s="3" t="s">
        <v>37</v>
      </c>
      <c r="D7" s="4" t="s">
        <v>38</v>
      </c>
      <c r="E7" s="4" t="s">
        <v>59</v>
      </c>
      <c r="F7" s="5" t="s">
        <v>60</v>
      </c>
      <c r="G7" s="6" t="s">
        <v>61</v>
      </c>
      <c r="H7" s="8" t="s">
        <v>62</v>
      </c>
      <c r="I7" s="26" t="s">
        <v>63</v>
      </c>
      <c r="J7" s="3" t="s">
        <v>39</v>
      </c>
      <c r="K7" s="20" t="s">
        <v>48</v>
      </c>
      <c r="L7" s="9" t="s">
        <v>64</v>
      </c>
      <c r="M7" s="9" t="s">
        <v>65</v>
      </c>
      <c r="N7" s="9" t="s">
        <v>66</v>
      </c>
      <c r="O7" s="10"/>
      <c r="P7" s="9"/>
      <c r="Q7" s="9" t="s">
        <v>64</v>
      </c>
      <c r="R7" s="11" t="s">
        <v>52</v>
      </c>
      <c r="S7" s="27" t="s">
        <v>67</v>
      </c>
      <c r="T7" s="12"/>
      <c r="U7" s="3" t="s">
        <v>68</v>
      </c>
      <c r="V7" s="3" t="s">
        <v>40</v>
      </c>
      <c r="W7" s="8" t="s">
        <v>69</v>
      </c>
      <c r="X7" s="31"/>
      <c r="Y7" s="32"/>
      <c r="Z7" s="32"/>
      <c r="AA7" s="33"/>
    </row>
    <row r="8" spans="1:27" ht="44.1" customHeight="1" x14ac:dyDescent="0.25">
      <c r="A8" s="13" t="s">
        <v>70</v>
      </c>
      <c r="B8" s="14" t="s">
        <v>71</v>
      </c>
      <c r="C8" s="14" t="s">
        <v>37</v>
      </c>
      <c r="D8" s="15" t="s">
        <v>72</v>
      </c>
      <c r="E8" s="15" t="s">
        <v>73</v>
      </c>
      <c r="F8" s="16" t="s">
        <v>74</v>
      </c>
      <c r="G8" s="17" t="s">
        <v>75</v>
      </c>
      <c r="H8" s="18" t="s">
        <v>76</v>
      </c>
      <c r="I8" s="26" t="s">
        <v>77</v>
      </c>
      <c r="J8" s="14" t="s">
        <v>39</v>
      </c>
      <c r="K8" s="20" t="s">
        <v>48</v>
      </c>
      <c r="L8" s="21" t="s">
        <v>78</v>
      </c>
      <c r="M8" s="21" t="s">
        <v>79</v>
      </c>
      <c r="N8" s="21" t="s">
        <v>80</v>
      </c>
      <c r="O8" s="22"/>
      <c r="P8" s="21"/>
      <c r="Q8" s="21" t="s">
        <v>78</v>
      </c>
      <c r="R8" s="23" t="s">
        <v>52</v>
      </c>
      <c r="S8" s="24" t="s">
        <v>81</v>
      </c>
      <c r="T8" s="28" t="s">
        <v>82</v>
      </c>
      <c r="U8" s="14" t="s">
        <v>83</v>
      </c>
      <c r="V8" s="14" t="s">
        <v>40</v>
      </c>
      <c r="W8" s="18" t="s">
        <v>84</v>
      </c>
      <c r="X8" s="34"/>
      <c r="Y8" s="35"/>
      <c r="Z8" s="35"/>
      <c r="AA8" s="36"/>
    </row>
    <row r="9" spans="1:27" ht="44.1" customHeight="1" x14ac:dyDescent="0.25">
      <c r="A9" s="2" t="s">
        <v>85</v>
      </c>
      <c r="B9" s="3" t="s">
        <v>86</v>
      </c>
      <c r="C9" s="3" t="s">
        <v>87</v>
      </c>
      <c r="D9" s="4" t="s">
        <v>38</v>
      </c>
      <c r="E9" s="4" t="s">
        <v>88</v>
      </c>
      <c r="F9" s="5" t="s">
        <v>89</v>
      </c>
      <c r="G9" s="6" t="s">
        <v>90</v>
      </c>
      <c r="H9" s="8" t="s">
        <v>46</v>
      </c>
      <c r="I9" s="19" t="s">
        <v>47</v>
      </c>
      <c r="J9" s="3" t="s">
        <v>39</v>
      </c>
      <c r="K9" s="20" t="s">
        <v>48</v>
      </c>
      <c r="L9" s="9" t="s">
        <v>91</v>
      </c>
      <c r="M9" s="9" t="s">
        <v>92</v>
      </c>
      <c r="N9" s="9" t="s">
        <v>93</v>
      </c>
      <c r="O9" s="10"/>
      <c r="P9" s="9"/>
      <c r="Q9" s="9" t="s">
        <v>91</v>
      </c>
      <c r="R9" s="11" t="s">
        <v>52</v>
      </c>
      <c r="S9" s="27" t="s">
        <v>94</v>
      </c>
      <c r="T9" s="12" t="s">
        <v>95</v>
      </c>
      <c r="U9" s="3" t="s">
        <v>96</v>
      </c>
      <c r="V9" s="3" t="s">
        <v>40</v>
      </c>
      <c r="W9" s="8" t="s">
        <v>97</v>
      </c>
      <c r="X9" s="31"/>
      <c r="Y9" s="32"/>
      <c r="Z9" s="32"/>
      <c r="AA9" s="33"/>
    </row>
    <row r="10" spans="1:27" ht="44.1" customHeight="1" x14ac:dyDescent="0.25">
      <c r="A10" s="13" t="s">
        <v>98</v>
      </c>
      <c r="B10" s="14" t="s">
        <v>99</v>
      </c>
      <c r="C10" s="14" t="s">
        <v>100</v>
      </c>
      <c r="D10" s="15" t="s">
        <v>72</v>
      </c>
      <c r="E10" s="15" t="s">
        <v>101</v>
      </c>
      <c r="F10" s="16" t="s">
        <v>102</v>
      </c>
      <c r="G10" s="17" t="s">
        <v>61</v>
      </c>
      <c r="H10" s="18" t="s">
        <v>76</v>
      </c>
      <c r="I10" s="26" t="s">
        <v>77</v>
      </c>
      <c r="J10" s="14" t="s">
        <v>39</v>
      </c>
      <c r="K10" s="20" t="s">
        <v>48</v>
      </c>
      <c r="L10" s="21" t="s">
        <v>103</v>
      </c>
      <c r="M10" s="21" t="s">
        <v>104</v>
      </c>
      <c r="N10" s="21" t="s">
        <v>105</v>
      </c>
      <c r="O10" s="22"/>
      <c r="P10" s="21" t="s">
        <v>106</v>
      </c>
      <c r="Q10" s="21" t="s">
        <v>103</v>
      </c>
      <c r="R10" s="23" t="s">
        <v>52</v>
      </c>
      <c r="S10" s="24" t="s">
        <v>107</v>
      </c>
      <c r="T10" s="7" t="s">
        <v>108</v>
      </c>
      <c r="U10" s="14" t="s">
        <v>109</v>
      </c>
      <c r="V10" s="14" t="s">
        <v>40</v>
      </c>
      <c r="W10" s="18" t="s">
        <v>110</v>
      </c>
      <c r="X10" s="34"/>
      <c r="Y10" s="35"/>
      <c r="Z10" s="35"/>
      <c r="AA10" s="36"/>
    </row>
    <row r="11" spans="1:27" ht="24" customHeight="1" x14ac:dyDescent="0.25">
      <c r="A11" s="29" t="s">
        <v>111</v>
      </c>
      <c r="B11" s="40"/>
      <c r="C11" s="29"/>
      <c r="D11" s="29"/>
      <c r="E11" s="60">
        <f>E6+E7+E8+E9+E10</f>
        <v>1816</v>
      </c>
      <c r="F11" s="40"/>
      <c r="G11" s="29"/>
      <c r="H11" s="29"/>
      <c r="I11" s="29"/>
      <c r="J11" s="29"/>
      <c r="K11" s="29"/>
      <c r="L11" s="61">
        <f>L6+L7+L8+L9+L10</f>
        <v>65397</v>
      </c>
      <c r="M11" s="61">
        <f>M6+M7+M8+M9+M10</f>
        <v>26831</v>
      </c>
      <c r="N11" s="61">
        <f>N6+N7+N8+N9+N10</f>
        <v>65101</v>
      </c>
      <c r="O11" s="41"/>
      <c r="P11" s="42" t="str">
        <f>P10</f>
        <v>90 000 €</v>
      </c>
      <c r="Q11" s="62">
        <f>Q10+Q9+Q8+Q7+Q6</f>
        <v>65397</v>
      </c>
      <c r="R11" s="29"/>
      <c r="S11" s="29"/>
      <c r="T11" s="29"/>
      <c r="U11" s="29"/>
      <c r="V11" s="29"/>
      <c r="W11" s="29"/>
      <c r="X11" s="37" t="s">
        <v>112</v>
      </c>
      <c r="Y11" s="38">
        <f>SUM(Y6:Y10)</f>
        <v>0</v>
      </c>
      <c r="Z11" s="38">
        <f>SUM(Z6:Z10)</f>
        <v>0</v>
      </c>
      <c r="AA11" s="39"/>
    </row>
    <row r="13" spans="1:27" ht="33.950000000000003" customHeight="1" x14ac:dyDescent="0.25">
      <c r="A13" s="43" t="s">
        <v>113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5"/>
    </row>
  </sheetData>
  <autoFilter ref="A5:AA10" xr:uid="{00000000-0009-0000-0000-000000000000}"/>
  <mergeCells count="18">
    <mergeCell ref="X4:AA4"/>
    <mergeCell ref="M4:O4"/>
    <mergeCell ref="S4:U4"/>
    <mergeCell ref="H4:J4"/>
    <mergeCell ref="A3:D3"/>
    <mergeCell ref="P4:R4"/>
    <mergeCell ref="E3:G3"/>
    <mergeCell ref="K4:L4"/>
    <mergeCell ref="M3:Q3"/>
    <mergeCell ref="D4:G4"/>
    <mergeCell ref="A13:W13"/>
    <mergeCell ref="H3:L3"/>
    <mergeCell ref="A1:W1"/>
    <mergeCell ref="A4:C4"/>
    <mergeCell ref="W4"/>
    <mergeCell ref="V4"/>
    <mergeCell ref="R3:W3"/>
    <mergeCell ref="A2:W2"/>
  </mergeCells>
  <pageMargins left="0.74803149606299213" right="0.74803149606299213" top="0.98425196850393704" bottom="0.98425196850393704" header="0.51181102362204722" footer="0.51181102362204722"/>
  <pageSetup paperSize="9" scale="3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PORTEFEUILLE PROJETS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Boris Fabié</cp:lastModifiedBy>
  <cp:lastPrinted>2026-09-22T08:44:26Z</cp:lastPrinted>
  <dcterms:created xsi:type="dcterms:W3CDTF">2026-07-21T08:02:24Z</dcterms:created>
  <dcterms:modified xsi:type="dcterms:W3CDTF">2026-09-22T11:55:24Z</dcterms:modified>
</cp:coreProperties>
</file>