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APEX &amp; Funding" sheetId="3" state="visible" r:id="rId5"/>
    <sheet name="OPEX Year 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<sst xmlns="http://schemas.openxmlformats.org/spreadsheetml/2006/main" count="255" uniqueCount="238">
  <si>
    <t xml:space="preserve">ECOGRID RESORT™ — MODEL 2  |  Year 1 Investment &amp; Cost Summary</t>
  </si>
  <si>
    <t xml:space="preserve">Model 2: SmartGrid finances 100% of CAPEX — Client pays zero upfront — 15-yr revenue-share contract</t>
  </si>
  <si>
    <t xml:space="preserve">Pilot site: Marine de Caprone, Ghisonaccia, Corsica  ·  Unaudited estimates — June 2026  ·  Blue = inputs  Black = formulas  Green = cross-sheet links</t>
  </si>
  <si>
    <t xml:space="preserve">KPI</t>
  </si>
  <si>
    <t xml:space="preserve">Value (€)</t>
  </si>
  <si>
    <t xml:space="preserve">Sheet reference</t>
  </si>
  <si>
    <t xml:space="preserve">Comment</t>
  </si>
  <si>
    <t xml:space="preserve">TOTAL CAPEX (gross)</t>
  </si>
  <si>
    <t xml:space="preserve">CAPEX &amp; Funding B13</t>
  </si>
  <si>
    <t xml:space="preserve">Equipment + installation — indicative split</t>
  </si>
  <si>
    <t xml:space="preserve">  — Equity</t>
  </si>
  <si>
    <t xml:space="preserve">Assumptions B18</t>
  </si>
  <si>
    <t xml:space="preserve">SmartGrid opco + co-investors</t>
  </si>
  <si>
    <t xml:space="preserve">  — Senior green debt</t>
  </si>
  <si>
    <t xml:space="preserve">Assumptions B19</t>
  </si>
  <si>
    <t xml:space="preserve">20-yr, ~4.5% indicative</t>
  </si>
  <si>
    <t xml:space="preserve">  — Public aids / grants</t>
  </si>
  <si>
    <t xml:space="preserve">Assumptions B20</t>
  </si>
  <si>
    <t xml:space="preserve">ZNI/CRE Corsica lever n°1</t>
  </si>
  <si>
    <t xml:space="preserve">  — Equipment leasing</t>
  </si>
  <si>
    <t xml:space="preserve">Assumptions B21</t>
  </si>
  <si>
    <t xml:space="preserve">5-yr term</t>
  </si>
  <si>
    <t xml:space="preserve">NET CAPEX after public aids</t>
  </si>
  <si>
    <t xml:space="preserve">Assumptions B15</t>
  </si>
  <si>
    <t xml:space="preserve">Gross CAPEX × (1 – 15% aid)</t>
  </si>
  <si>
    <t xml:space="preserve">TOTAL OPEX — Year 1</t>
  </si>
  <si>
    <t xml:space="preserve">OPEX Year 1 N20</t>
  </si>
  <si>
    <t xml:space="preserve">All operating costs incl. O&amp;M — excl. debt service</t>
  </si>
  <si>
    <t xml:space="preserve">  — Personnel</t>
  </si>
  <si>
    <t xml:space="preserve">OPEX Year 1 N7</t>
  </si>
  <si>
    <t xml:space="preserve">Shareholders + staff</t>
  </si>
  <si>
    <t xml:space="preserve">  — Infrastructure &amp; Software</t>
  </si>
  <si>
    <t xml:space="preserve">OPEX Year 1 N11</t>
  </si>
  <si>
    <t xml:space="preserve">Office + software dev + cloud</t>
  </si>
  <si>
    <t xml:space="preserve">  — Go-to-Market</t>
  </si>
  <si>
    <t xml:space="preserve">OPEX Year 1 N15</t>
  </si>
  <si>
    <t xml:space="preserve">Marketing + travel</t>
  </si>
  <si>
    <t xml:space="preserve">  — G&amp;A</t>
  </si>
  <si>
    <t xml:space="preserve">OPEX Year 1 N19</t>
  </si>
  <si>
    <t xml:space="preserve">Legal, insurance, IP, O&amp;M site</t>
  </si>
  <si>
    <t xml:space="preserve">ANNUAL DEBT SERVICE (Yr1)</t>
  </si>
  <si>
    <t xml:space="preserve">CAPEX &amp; Funding B29</t>
  </si>
  <si>
    <t xml:space="preserve">Principal + interest + leasing (not counted in OPEX)</t>
  </si>
  <si>
    <t xml:space="preserve">TOTAL REVENUE — Year 1</t>
  </si>
  <si>
    <t xml:space="preserve">OPEX Year 1 N25</t>
  </si>
  <si>
    <t xml:space="preserve">Savings share 60% + SaaS — 1 site full year</t>
  </si>
  <si>
    <t xml:space="preserve">NET OPERATING RESULT (pre-debt)</t>
  </si>
  <si>
    <t xml:space="preserve">OPEX Year 1 N26</t>
  </si>
  <si>
    <t xml:space="preserve">Revenue – OPEX (proxy for EBITDA)</t>
  </si>
  <si>
    <t xml:space="preserve">NET RESULT AFTER DEBT SERVICE</t>
  </si>
  <si>
    <t xml:space="preserve">OPEX Year 1 N30</t>
  </si>
  <si>
    <t xml:space="preserve">Indicates cash gap in Year 1 — expected negative</t>
  </si>
  <si>
    <t xml:space="preserve">KEY METRICS — Model 2 Return</t>
  </si>
  <si>
    <t xml:space="preserve">Value</t>
  </si>
  <si>
    <t xml:space="preserve">Formula logic</t>
  </si>
  <si>
    <t xml:space="preserve">Simple payback on net CAPEX</t>
  </si>
  <si>
    <t xml:space="preserve">Net CAPEX / annual net operating income</t>
  </si>
  <si>
    <t xml:space="preserve">Yr1 view only — payback improves as more sites added</t>
  </si>
  <si>
    <t xml:space="preserve">Total income over 15-yr contract</t>
  </si>
  <si>
    <t xml:space="preserve">Net op. income × contract duration</t>
  </si>
  <si>
    <t xml:space="preserve">Simplified — excludes inflation &amp; additional sites</t>
  </si>
  <si>
    <t xml:space="preserve">Income multiple on net CAPEX</t>
  </si>
  <si>
    <t xml:space="preserve">15-yr total / net CAPEX</t>
  </si>
  <si>
    <t xml:space="preserve">Target &gt;2× to justify financing risk</t>
  </si>
  <si>
    <t xml:space="preserve">OPEX as % of gross CAPEX</t>
  </si>
  <si>
    <t xml:space="preserve">OPEX Yr1 / gross CAPEX base</t>
  </si>
  <si>
    <t xml:space="preserve">Benchmark: should fall sharply from Yr2 with additional sites</t>
  </si>
  <si>
    <t xml:space="preserve">Revenue coverage ratio</t>
  </si>
  <si>
    <t xml:space="preserve">Revenue / OPEX</t>
  </si>
  <si>
    <t xml:space="preserve">Coverage &lt;1x in Yr1 (1 site) is expected; target &gt;1x from Yr2</t>
  </si>
  <si>
    <t xml:space="preserve">WARNING:  All figures are unaudited working estimates as of June 2026. CAPEX split is indicative only — to be confirmed by engineering study and supplier quotes. Public aid amounts subject to application outcome. Debt terms indicative. This model is for internal planning only and does not constitute a financial commitment.</t>
  </si>
  <si>
    <t xml:space="preserve">ECOGRID RESORT™ — Model 2  |  Assumptions &amp; Inputs</t>
  </si>
  <si>
    <t xml:space="preserve">Blue = hardcoded inputs  ·  Black = formulas  ·  All unaudited — June 2026</t>
  </si>
  <si>
    <t xml:space="preserve">Parameter</t>
  </si>
  <si>
    <t xml:space="preserve">Source / Note</t>
  </si>
  <si>
    <t xml:space="preserve">A.  SITE &amp; CONTRACT — Model 2 (SmartGrid finances, client pays zero CAPEX)</t>
  </si>
  <si>
    <t xml:space="preserve">Site name / reference</t>
  </si>
  <si>
    <t xml:space="preserve">Marine de Caprone, Ghisonaccia (Corsica)</t>
  </si>
  <si>
    <t xml:space="preserve">Source: brain.md §6</t>
  </si>
  <si>
    <t xml:space="preserve">CAPEX — base site (€)</t>
  </si>
  <si>
    <t xml:space="preserve">brain.md §6 central scenario — 2 MWc PV, 6 MWh LFP, 30-50 EV chargers — unaudited</t>
  </si>
  <si>
    <t xml:space="preserve">Site scale factor (× base)</t>
  </si>
  <si>
    <t xml:space="preserve">1.0 = full Corsica pilot; adjust &lt;1 for smaller sites</t>
  </si>
  <si>
    <t xml:space="preserve">Effective CAPEX this site (€)</t>
  </si>
  <si>
    <t xml:space="preserve">Gross CAPEX = base × scale factor</t>
  </si>
  <si>
    <t xml:space="preserve">Annual client energy savings (€/yr)</t>
  </si>
  <si>
    <t xml:space="preserve">Source: brain.md §6 — target, unaudited</t>
  </si>
  <si>
    <t xml:space="preserve">SmartGrid savings share (%)</t>
  </si>
  <si>
    <t xml:space="preserve">Source: Franck 10/06/2026 — 60% base</t>
  </si>
  <si>
    <t xml:space="preserve">SmartGrid gross savings income (€/yr)</t>
  </si>
  <si>
    <t xml:space="preserve">Annual savings × share %</t>
  </si>
  <si>
    <t xml:space="preserve">SaaS subscription (€/site/yr)</t>
  </si>
  <si>
    <t xml:space="preserve">Source: Franck 10/06/2026</t>
  </si>
  <si>
    <t xml:space="preserve">Contract duration (yrs)</t>
  </si>
  <si>
    <t xml:space="preserve">Decision 10/06/2026: 15-yr contract</t>
  </si>
  <si>
    <t xml:space="preserve">Public aid / grant (% of CAPEX)</t>
  </si>
  <si>
    <t xml:space="preserve">ZNI/CRE Corsica lever — validate per site; ES/IT aids closed 2026</t>
  </si>
  <si>
    <t xml:space="preserve">Net CAPEX after public aids (€)</t>
  </si>
  <si>
    <t xml:space="preserve">Gross CAPEX × (1 – aid %)</t>
  </si>
  <si>
    <t xml:space="preserve">B.  FUNDING STRUCTURE — Pilot 5.7 M€</t>
  </si>
  <si>
    <t xml:space="preserve">Equity (SmartGrid + co-investors) (€)</t>
  </si>
  <si>
    <t xml:space="preserve">Source: brain.md §6, unaudited central scenario</t>
  </si>
  <si>
    <t xml:space="preserve">Senior green debt (€)</t>
  </si>
  <si>
    <t xml:space="preserve">Source: brain.md §6 — BEI / green bond</t>
  </si>
  <si>
    <t xml:space="preserve">Public aids / grants (€)</t>
  </si>
  <si>
    <t xml:space="preserve">ZNI/CRE Corsica lever n°1 — ES/IT aids closed 2026</t>
  </si>
  <si>
    <t xml:space="preserve">Equipment leasing (€)</t>
  </si>
  <si>
    <t xml:space="preserve">Total funding (€)</t>
  </si>
  <si>
    <t xml:space="preserve">Green debt interest rate (%/yr)</t>
  </si>
  <si>
    <t xml:space="preserve">Indicative — confirm with lender</t>
  </si>
  <si>
    <t xml:space="preserve">Green debt term (yrs)</t>
  </si>
  <si>
    <t xml:space="preserve">Indicative</t>
  </si>
  <si>
    <t xml:space="preserve">Annual debt principal repayment (€/yr)</t>
  </si>
  <si>
    <t xml:space="preserve">Straight-line; actual schedule to confirm with lender</t>
  </si>
  <si>
    <t xml:space="preserve">Annual interest — Year 1 (€/yr)</t>
  </si>
  <si>
    <t xml:space="preserve">Year 1 interest on full balance</t>
  </si>
  <si>
    <t xml:space="preserve">Leasing annual payment (€/yr)</t>
  </si>
  <si>
    <t xml:space="preserve">5-yr lease term assumed</t>
  </si>
  <si>
    <t xml:space="preserve">C.  COMPANY OPERATING COSTS — Year 1 Inputs</t>
  </si>
  <si>
    <t xml:space="preserve">Shareholders paid (count)</t>
  </si>
  <si>
    <t xml:space="preserve">Franck, Mark, Boris, Pierre, Michael — paid from Day 1</t>
  </si>
  <si>
    <t xml:space="preserve">SH monthly compensation (€/person/mo)</t>
  </si>
  <si>
    <t xml:space="preserve">Staff headcount</t>
  </si>
  <si>
    <t xml:space="preserve">Joseph + secretary + EU grant specialist</t>
  </si>
  <si>
    <t xml:space="preserve">Staff monthly salary (€/person/mo)</t>
  </si>
  <si>
    <t xml:space="preserve">Office rent &amp; utilities (€/mo)</t>
  </si>
  <si>
    <t xml:space="preserve">Software dev + Azure/cloud hosting Yr1 (€)</t>
  </si>
  <si>
    <t xml:space="preserve">Marketing budget (€/mo)</t>
  </si>
  <si>
    <t xml:space="preserve">Marketing active months in Yr1</t>
  </si>
  <si>
    <t xml:space="preserve">Starts month 3 (setup in months 1-2)</t>
  </si>
  <si>
    <t xml:space="preserve">Travel &amp; site visits (€/mo)</t>
  </si>
  <si>
    <t xml:space="preserve">Insurance, legal, accounting, IP (€/yr)</t>
  </si>
  <si>
    <t xml:space="preserve">Incl. trademark filing, décennale — suggested by Claude</t>
  </si>
  <si>
    <t xml:space="preserve">O&amp;M maintenance per Model 2 site (€/yr)</t>
  </si>
  <si>
    <t xml:space="preserve">SmartGrid bears O&amp;M in Model 2 — Source: Franck</t>
  </si>
  <si>
    <t xml:space="preserve">Model 2 sites live in Yr1</t>
  </si>
  <si>
    <t xml:space="preserve">Corsica pilot — assumed operational full year (conservative)</t>
  </si>
  <si>
    <t xml:space="preserve">Inflation (%/yr, for Yr2+ only)</t>
  </si>
  <si>
    <t xml:space="preserve">Applied to projections from Yr2 onward</t>
  </si>
  <si>
    <t xml:space="preserve">ECOGRID RESORT™ — Model 2  |  CAPEX Investment &amp; Funding  |  Pilot: Marine de Caprone, Corsica</t>
  </si>
  <si>
    <t xml:space="preserve">All figures unaudited — June 2026  ·  Model 2: SmartGrid finances 100% of CAPEX; client pays zero upfront</t>
  </si>
  <si>
    <t xml:space="preserve">Item</t>
  </si>
  <si>
    <t xml:space="preserve">Gross (€)</t>
  </si>
  <si>
    <t xml:space="preserve">Net of Aids (€)</t>
  </si>
  <si>
    <t xml:space="preserve">Notes</t>
  </si>
  <si>
    <t xml:space="preserve">1. CAPEX BREAKDOWN — Equipment &amp; Installation (indicative split)</t>
  </si>
  <si>
    <t xml:space="preserve">Solar PV system — 2 MWc (panels, inverters, mounting)</t>
  </si>
  <si>
    <t xml:space="preserve">~38% — indicative; to confirm with supplier quotes</t>
  </si>
  <si>
    <t xml:space="preserve">Battery storage — LFP 6 MWh (V2G-ready)</t>
  </si>
  <si>
    <t xml:space="preserve">~26% — LFP preferred for cycle life &amp; safety</t>
  </si>
  <si>
    <t xml:space="preserve">EV charging stations — 30–50 units (OCPP bidirectional)</t>
  </si>
  <si>
    <t xml:space="preserve">~11% — V2G chargers</t>
  </si>
  <si>
    <t xml:space="preserve">EMS / IoT gateways &amp; sensors</t>
  </si>
  <si>
    <t xml:space="preserve">~3% — FoxESS multi-vendor API hardware</t>
  </si>
  <si>
    <t xml:space="preserve">MV/LV grid connection &amp; electrical BOS</t>
  </si>
  <si>
    <t xml:space="preserve">~9% — metering, distribution</t>
  </si>
  <si>
    <t xml:space="preserve">Civil works &amp; mounting structures (ombrières)</t>
  </si>
  <si>
    <t xml:space="preserve">~6% — foundations, trenching</t>
  </si>
  <si>
    <t xml:space="preserve">Engineering, procurement &amp; commissioning (EPC)</t>
  </si>
  <si>
    <t xml:space="preserve">~4%</t>
  </si>
  <si>
    <t xml:space="preserve">Project management, permitting &amp; contingency</t>
  </si>
  <si>
    <t xml:space="preserve">~3%</t>
  </si>
  <si>
    <t xml:space="preserve">TOTAL CAPEX</t>
  </si>
  <si>
    <t xml:space="preserve">Net = Gross × (1 – 15% public aid from Assumptions B14)</t>
  </si>
  <si>
    <t xml:space="preserve">   brain.md §6 reference (5.7 M€ central scenario)</t>
  </si>
  <si>
    <t xml:space="preserve">from Assumptions sheet</t>
  </si>
  <si>
    <t xml:space="preserve">2. FUNDING STRUCTURE — How the CAPEX is financed</t>
  </si>
  <si>
    <t xml:space="preserve">Source</t>
  </si>
  <si>
    <t xml:space="preserve">Amount (€)</t>
  </si>
  <si>
    <t xml:space="preserve">% of Total</t>
  </si>
  <si>
    <t xml:space="preserve">Equity (SmartGrid opco + co-investors)</t>
  </si>
  <si>
    <t xml:space="preserve">Senior green debt (BEI / green bond)</t>
  </si>
  <si>
    <t xml:space="preserve">20-yr term, ~4.5% indicative — to confirm</t>
  </si>
  <si>
    <t xml:space="preserve">Public aids / grants (ZNI CRE Corsica)</t>
  </si>
  <si>
    <t xml:space="preserve">ZNI Corsica lever n°1 — ES/IT aids closed 2026</t>
  </si>
  <si>
    <t xml:space="preserve">Equipment leasing</t>
  </si>
  <si>
    <t xml:space="preserve">5-yr leasing on specific equipment</t>
  </si>
  <si>
    <t xml:space="preserve">TOTAL FUNDING</t>
  </si>
  <si>
    <t xml:space="preserve">100.0%</t>
  </si>
  <si>
    <t xml:space="preserve">3. ANNUAL DEBT SERVICE — Year 1 (financial charges, not counted in OPEX)</t>
  </si>
  <si>
    <t xml:space="preserve">Component</t>
  </si>
  <si>
    <t xml:space="preserve">Annual Amount (€)</t>
  </si>
  <si>
    <t xml:space="preserve">Principal repayment — green debt</t>
  </si>
  <si>
    <t xml:space="preserve">Straight-line over 20 yrs — indicative</t>
  </si>
  <si>
    <t xml:space="preserve">Interest — green debt (Year 1)</t>
  </si>
  <si>
    <t xml:space="preserve">Year 1 interest on full 3.4 M€ balance</t>
  </si>
  <si>
    <t xml:space="preserve">Leasing annual payment</t>
  </si>
  <si>
    <t xml:space="preserve">5-yr leasing term</t>
  </si>
  <si>
    <t xml:space="preserve">TOTAL ANNUAL DEBT SERVICE (Yr1)</t>
  </si>
  <si>
    <t xml:space="preserve">Principal + interest + leasing</t>
  </si>
  <si>
    <t xml:space="preserve">ECOGRID RESORT™ — Model 2  |  OPEX Year 1  |  Monthly Forecast</t>
  </si>
  <si>
    <t xml:space="preserve">Model 2: SmartGrid finances &amp; owns installation under 15-yr revenue-share contract  ·  All € unaudited — June 2026</t>
  </si>
  <si>
    <t xml:space="preserve">Cost 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</si>
  <si>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</si>
  <si>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</si>
  <si>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</si>
  <si>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</si>
  <si>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</si>
  <si>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</si>
  <si>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</si>
  <si>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</si>
  <si>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</si>
  <si>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</si>
  <si>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</si>
  <si>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</si>
  <si>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Yr1</t>
  </si>
  <si>
    <t xml:space="preserve">Source / Notes</t>
  </si>
  <si>
    <t xml:space="preserve">PERSONNEL COSTS</t>
  </si>
  <si>
    <t xml:space="preserve">Shareholders compensation (5 × 5,000 €/mo)</t>
  </si>
  <si>
    <t xml:space="preserve">5 shareholders paid from Day 1 @ 5k€/mo — Source: Franck 10/06/2026</t>
  </si>
  <si>
    <t xml:space="preserve">Staff salaries (3 FTE × 3,000 €/mo)</t>
  </si>
  <si>
    <t xml:space="preserve">Joseph + secretary + EU grant specialist — Source: Franck 10/06/2026</t>
  </si>
  <si>
    <t xml:space="preserve">  Subtotal</t>
  </si>
  <si>
    <t xml:space="preserve">INFRASTRUCTURE &amp; SOFTWARE</t>
  </si>
  <si>
    <t xml:space="preserve">Office rent &amp; utilities (2,000 €/mo)</t>
  </si>
  <si>
    <t xml:space="preserve">Software dev + Azure / cloud hosting (250k€/yr — front-loaded)</t>
  </si>
  <si>
    <t xml:space="preserve">60% in H1 (dev sprint), 40% in H2 (deployment + hosting) — Source: Franck</t>
  </si>
  <si>
    <t xml:space="preserve">GO-TO-MARKET</t>
  </si>
  <si>
    <t xml:space="preserve">Marketing &amp; communications (starts Month 3)</t>
  </si>
  <si>
    <t xml:space="preserve">10k€/mo × 10 months — months 1-2 = setup (0) — Source: Franck</t>
  </si>
  <si>
    <t xml:space="preserve">Travel &amp; client visits (5,000 €/mo)</t>
  </si>
  <si>
    <t xml:space="preserve">Site visits, investor meetings, EU travel — Source: Franck</t>
  </si>
  <si>
    <t xml:space="preserve">GENERAL &amp; ADMINISTRATIVE</t>
  </si>
  <si>
    <t xml:space="preserve">Insurance, legal, accounting, IP, trademark (30k€/yr — quarterly)</t>
  </si>
  <si>
    <t xml:space="preserve">Paid quarterly — incl. trademark filing, décennale, legal retainer — suggested</t>
  </si>
  <si>
    <t xml:space="preserve">O&amp;M maintenance — Model 2 site(s) (10k€/site/yr)</t>
  </si>
  <si>
    <t xml:space="preserve">SmartGrid bears O&amp;M in Model 2 — 10k€/site/yr — Source: Franck</t>
  </si>
  <si>
    <t xml:space="preserve">TOTAL OPEX  (excl. debt service)</t>
  </si>
  <si>
    <t xml:space="preserve">REVENUE — MODEL 2 (assumed full year — 1 site live from Month 1)</t>
  </si>
  <si>
    <t xml:space="preserve">Energy savings share — 60% × 860k€ client savings</t>
  </si>
  <si>
    <t xml:space="preserve">Annual: 860k × 60% = 516k / 12 = 43k/mo — Source: Franck</t>
  </si>
  <si>
    <t xml:space="preserve">SaaS subscription (5,000 €/yr / 12)</t>
  </si>
  <si>
    <t xml:space="preserve">Source: Franck — updates + support included</t>
  </si>
  <si>
    <t xml:space="preserve">TOTAL REVENUE</t>
  </si>
  <si>
    <t xml:space="preserve">NET OPERATING RESULT  (Revenue – OPEX)</t>
  </si>
  <si>
    <t xml:space="preserve">DEBT SERVICE — Year 1 (financial charges — NOT included in OPEX above)</t>
  </si>
  <si>
    <t xml:space="preserve">Annual debt service / 12  (principal + interest + leasing)</t>
  </si>
  <si>
    <t xml:space="preserve">Total from CAPEX &amp; Funding sheet / 12 — see that sheet for detail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</si>
</sst>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€&quot;;\(#,##0&quot; €)&quot;;\-"/>
    <numFmt numFmtId="166" formatCode="0.0&quot; yrs&quot;"/>
    <numFmt numFmtId="167" formatCode="0.0\x"/>
    <numFmt numFmtId="168" formatCode="0.0%;\(0.0%\);\-"/>
    <numFmt numFmtId="169" formatCode="0.00\×"/>
    <numFmt numFmtId="170" formatCode="0&quot; yrs&quot;"/>
    <numFmt numFmtId="171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5FB"/>
        <bgColor rgb="FFF2F2F2"/>
      </patternFill>
    </fill>
    <fill>
      <patternFill patternType="solid">
        <fgColor rgb="FFD6E4F0"/>
        <bgColor rgb="FFEBF5FB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BF5FB"/>
      </patternFill>
    </fill>
    <fill>
      <patternFill patternType="solid">
        <fgColor rgb="FF7F7F7F"/>
        <bgColor rgb="FF595959"/>
      </patternFill>
    </fill>
    <fill>
      <patternFill patternType="solid">
        <fgColor rgb="FFFCE4D6"/>
        <bgColor rgb="FFFFF2CC"/>
      </patternFill>
    </fill>
    <fill>
      <patternFill patternType="solid">
        <fgColor rgb="FF833C0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833C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'CAPEX &amp; Funding'!B13</f>
        <v>5700000</v>
      </c>
      <c r="C6" s="7" t="s">
        <v>8</v>
      </c>
      <c r="D6" s="8" t="s">
        <v>9</v>
      </c>
    </row>
    <row r="7" customFormat="false" ht="15" hidden="false" customHeight="false" outlineLevel="0" collapsed="false">
      <c r="A7" s="9" t="s">
        <v>10</v>
      </c>
      <c r="B7" s="10" t="n">
        <f aca="false">Assumptions!B18</f>
        <v>1400000</v>
      </c>
      <c r="C7" s="3" t="s">
        <v>11</v>
      </c>
      <c r="D7" s="11" t="s">
        <v>12</v>
      </c>
    </row>
    <row r="8" customFormat="false" ht="15" hidden="false" customHeight="false" outlineLevel="0" collapsed="false">
      <c r="A8" s="12" t="s">
        <v>13</v>
      </c>
      <c r="B8" s="13" t="n">
        <f aca="false">Assumptions!B19</f>
        <v>3400000</v>
      </c>
      <c r="C8" s="14" t="s">
        <v>14</v>
      </c>
      <c r="D8" s="15" t="s">
        <v>15</v>
      </c>
    </row>
    <row r="9" customFormat="false" ht="15" hidden="false" customHeight="false" outlineLevel="0" collapsed="false">
      <c r="A9" s="9" t="s">
        <v>16</v>
      </c>
      <c r="B9" s="10" t="n">
        <f aca="false">Assumptions!B20</f>
        <v>600000</v>
      </c>
      <c r="C9" s="3" t="s">
        <v>17</v>
      </c>
      <c r="D9" s="11" t="s">
        <v>18</v>
      </c>
    </row>
    <row r="10" customFormat="false" ht="15" hidden="false" customHeight="false" outlineLevel="0" collapsed="false">
      <c r="A10" s="12" t="s">
        <v>19</v>
      </c>
      <c r="B10" s="13" t="n">
        <f aca="false">Assumptions!B21</f>
        <v>300000</v>
      </c>
      <c r="C10" s="14" t="s">
        <v>20</v>
      </c>
      <c r="D10" s="15" t="s">
        <v>21</v>
      </c>
    </row>
    <row r="11" customFormat="false" ht="15" hidden="false" customHeight="false" outlineLevel="0" collapsed="false">
      <c r="A11" s="5" t="s">
        <v>22</v>
      </c>
      <c r="B11" s="6" t="n">
        <f aca="false">Assumptions!B15</f>
        <v>4845000</v>
      </c>
      <c r="C11" s="7" t="s">
        <v>23</v>
      </c>
      <c r="D11" s="8" t="s">
        <v>24</v>
      </c>
    </row>
    <row r="12" customFormat="false" ht="15" hidden="false" customHeight="false" outlineLevel="0" collapsed="false">
      <c r="A12" s="5" t="s">
        <v>25</v>
      </c>
      <c r="B12" s="6" t="n">
        <f aca="false">'OPEX Year 1'!N20</f>
        <v>882046</v>
      </c>
      <c r="C12" s="7" t="s">
        <v>26</v>
      </c>
      <c r="D12" s="8" t="s">
        <v>27</v>
      </c>
    </row>
    <row r="13" customFormat="false" ht="15" hidden="false" customHeight="false" outlineLevel="0" collapsed="false">
      <c r="A13" s="9" t="s">
        <v>28</v>
      </c>
      <c r="B13" s="10" t="n">
        <f aca="false">'OPEX Year 1'!N7</f>
        <v>408000</v>
      </c>
      <c r="C13" s="3" t="s">
        <v>29</v>
      </c>
      <c r="D13" s="11" t="s">
        <v>30</v>
      </c>
    </row>
    <row r="14" customFormat="false" ht="15" hidden="false" customHeight="false" outlineLevel="0" collapsed="false">
      <c r="A14" s="12" t="s">
        <v>31</v>
      </c>
      <c r="B14" s="13" t="n">
        <f aca="false">'OPEX Year 1'!N11</f>
        <v>274050</v>
      </c>
      <c r="C14" s="14" t="s">
        <v>32</v>
      </c>
      <c r="D14" s="15" t="s">
        <v>33</v>
      </c>
    </row>
    <row r="15" customFormat="false" ht="15" hidden="false" customHeight="false" outlineLevel="0" collapsed="false">
      <c r="A15" s="9" t="s">
        <v>34</v>
      </c>
      <c r="B15" s="10" t="n">
        <f aca="false">'OPEX Year 1'!N15</f>
        <v>160000</v>
      </c>
      <c r="C15" s="3" t="s">
        <v>35</v>
      </c>
      <c r="D15" s="11" t="s">
        <v>36</v>
      </c>
    </row>
    <row r="16" customFormat="false" ht="15" hidden="false" customHeight="false" outlineLevel="0" collapsed="false">
      <c r="A16" s="12" t="s">
        <v>37</v>
      </c>
      <c r="B16" s="13" t="n">
        <f aca="false">'OPEX Year 1'!N19</f>
        <v>39996</v>
      </c>
      <c r="C16" s="14" t="s">
        <v>38</v>
      </c>
      <c r="D16" s="15" t="s">
        <v>39</v>
      </c>
    </row>
    <row r="17" customFormat="false" ht="15" hidden="false" customHeight="false" outlineLevel="0" collapsed="false">
      <c r="A17" s="5" t="s">
        <v>40</v>
      </c>
      <c r="B17" s="6" t="n">
        <f aca="false">'CAPEX &amp; Funding'!B29</f>
        <v>383000</v>
      </c>
      <c r="C17" s="7" t="s">
        <v>41</v>
      </c>
      <c r="D17" s="8" t="s">
        <v>42</v>
      </c>
    </row>
    <row r="18" customFormat="false" ht="15" hidden="false" customHeight="false" outlineLevel="0" collapsed="false">
      <c r="A18" s="5" t="s">
        <v>43</v>
      </c>
      <c r="B18" s="6" t="n">
        <f aca="false">'OPEX Year 1'!N25</f>
        <v>521004</v>
      </c>
      <c r="C18" s="7" t="s">
        <v>44</v>
      </c>
      <c r="D18" s="8" t="s">
        <v>45</v>
      </c>
    </row>
    <row r="19" customFormat="false" ht="15" hidden="false" customHeight="false" outlineLevel="0" collapsed="false">
      <c r="A19" s="5" t="s">
        <v>46</v>
      </c>
      <c r="B19" s="6" t="n">
        <f aca="false">'OPEX Year 1'!N26</f>
        <v>-361042</v>
      </c>
      <c r="C19" s="7" t="s">
        <v>47</v>
      </c>
      <c r="D19" s="8" t="s">
        <v>48</v>
      </c>
    </row>
    <row r="20" customFormat="false" ht="15" hidden="false" customHeight="false" outlineLevel="0" collapsed="false">
      <c r="A20" s="5" t="s">
        <v>49</v>
      </c>
      <c r="B20" s="6" t="n">
        <f aca="false">'OPEX Year 1'!N30</f>
        <v>-744046</v>
      </c>
      <c r="C20" s="7" t="s">
        <v>50</v>
      </c>
      <c r="D20" s="8" t="s">
        <v>51</v>
      </c>
    </row>
    <row r="22" customFormat="false" ht="15" hidden="false" customHeight="false" outlineLevel="0" collapsed="false">
      <c r="A22" s="16" t="s">
        <v>52</v>
      </c>
      <c r="B22" s="16" t="s">
        <v>53</v>
      </c>
      <c r="C22" s="16" t="s">
        <v>54</v>
      </c>
      <c r="D22" s="16" t="s">
        <v>6</v>
      </c>
    </row>
    <row r="23" customFormat="false" ht="22.35" hidden="false" customHeight="false" outlineLevel="0" collapsed="false">
      <c r="A23" s="12" t="s">
        <v>55</v>
      </c>
      <c r="B23" s="17" t="str">
        <f aca="false">IF(OR('OPEX Year 1'!N26&lt;=0,Assumptions!B15=0),"-",Assumptions!B15/'OPEX Year 1'!N26)</f>
        <v>-</v>
      </c>
      <c r="C23" s="14" t="s">
        <v>56</v>
      </c>
      <c r="D23" s="15" t="s">
        <v>57</v>
      </c>
    </row>
    <row r="24" customFormat="false" ht="15" hidden="false" customHeight="false" outlineLevel="0" collapsed="false">
      <c r="A24" s="9" t="s">
        <v>58</v>
      </c>
      <c r="B24" s="18" t="n">
        <f aca="false">'OPEX Year 1'!N26*Assumptions!B13</f>
        <v>-5415630</v>
      </c>
      <c r="C24" s="3" t="s">
        <v>59</v>
      </c>
      <c r="D24" s="11" t="s">
        <v>60</v>
      </c>
    </row>
    <row r="25" customFormat="false" ht="15" hidden="false" customHeight="false" outlineLevel="0" collapsed="false">
      <c r="A25" s="12" t="s">
        <v>61</v>
      </c>
      <c r="B25" s="19" t="str">
        <f aca="false">IF(OR(Assumptions!B15=0,'OPEX Year 1'!N26&lt;=0),"-",'OPEX Year 1'!N26*Assumptions!B13/Assumptions!B15)</f>
        <v>-</v>
      </c>
      <c r="C25" s="14" t="s">
        <v>62</v>
      </c>
      <c r="D25" s="15" t="s">
        <v>63</v>
      </c>
    </row>
    <row r="26" customFormat="false" ht="22.35" hidden="false" customHeight="false" outlineLevel="0" collapsed="false">
      <c r="A26" s="9" t="s">
        <v>64</v>
      </c>
      <c r="B26" s="20" t="n">
        <f aca="false">IF(Assumptions!B6=0,"-",'OPEX Year 1'!N20/Assumptions!B6)</f>
        <v>0.154744912280702</v>
      </c>
      <c r="C26" s="3" t="s">
        <v>65</v>
      </c>
      <c r="D26" s="11" t="s">
        <v>66</v>
      </c>
    </row>
    <row r="27" customFormat="false" ht="22.35" hidden="false" customHeight="false" outlineLevel="0" collapsed="false">
      <c r="A27" s="12" t="s">
        <v>67</v>
      </c>
      <c r="B27" s="19" t="n">
        <f aca="false">IF('OPEX Year 1'!N20=0,"-",'OPEX Year 1'!N25/'OPEX Year 1'!N20)</f>
        <v>0.590676676726611</v>
      </c>
      <c r="C27" s="14" t="s">
        <v>68</v>
      </c>
      <c r="D27" s="15" t="s">
        <v>69</v>
      </c>
    </row>
    <row r="29" customFormat="false" ht="45" hidden="false" customHeight="true" outlineLevel="0" collapsed="false">
      <c r="A29" s="21" t="s">
        <v>70</v>
      </c>
      <c r="B29" s="21"/>
      <c r="C29" s="21"/>
      <c r="D29" s="21"/>
    </row>
  </sheetData>
  <mergeCells count="4">
    <mergeCell ref="A1:D1"/>
    <mergeCell ref="A2:D2"/>
    <mergeCell ref="A3:D3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5"/>
  </cols>
  <sheetData>
    <row r="1" customFormat="false" ht="27.75" hidden="false" customHeight="true" outlineLevel="0" collapsed="false">
      <c r="A1" s="22" t="s">
        <v>71</v>
      </c>
      <c r="B1" s="22"/>
      <c r="C1" s="22"/>
    </row>
    <row r="2" customFormat="false" ht="15" hidden="false" customHeight="false" outlineLevel="0" collapsed="false">
      <c r="A2" s="3" t="s">
        <v>72</v>
      </c>
      <c r="B2" s="3"/>
      <c r="C2" s="3"/>
    </row>
    <row r="3" customFormat="false" ht="15" hidden="false" customHeight="false" outlineLevel="0" collapsed="false">
      <c r="A3" s="16" t="s">
        <v>73</v>
      </c>
      <c r="B3" s="16" t="s">
        <v>53</v>
      </c>
      <c r="C3" s="16" t="s">
        <v>74</v>
      </c>
    </row>
    <row r="4" customFormat="false" ht="15" hidden="false" customHeight="false" outlineLevel="0" collapsed="false">
      <c r="A4" s="23" t="s">
        <v>75</v>
      </c>
      <c r="B4" s="23"/>
      <c r="C4" s="23"/>
    </row>
    <row r="5" customFormat="false" ht="15" hidden="false" customHeight="false" outlineLevel="0" collapsed="false">
      <c r="A5" s="12" t="s">
        <v>76</v>
      </c>
      <c r="B5" s="24" t="s">
        <v>77</v>
      </c>
      <c r="C5" s="15" t="s">
        <v>78</v>
      </c>
    </row>
    <row r="6" customFormat="false" ht="22.35" hidden="false" customHeight="false" outlineLevel="0" collapsed="false">
      <c r="A6" s="9" t="s">
        <v>79</v>
      </c>
      <c r="B6" s="25" t="n">
        <v>5700000</v>
      </c>
      <c r="C6" s="11" t="s">
        <v>80</v>
      </c>
    </row>
    <row r="7" customFormat="false" ht="15" hidden="false" customHeight="false" outlineLevel="0" collapsed="false">
      <c r="A7" s="12" t="s">
        <v>81</v>
      </c>
      <c r="B7" s="26" t="n">
        <v>1</v>
      </c>
      <c r="C7" s="15" t="s">
        <v>82</v>
      </c>
    </row>
    <row r="8" customFormat="false" ht="15" hidden="false" customHeight="false" outlineLevel="0" collapsed="false">
      <c r="A8" s="9" t="s">
        <v>83</v>
      </c>
      <c r="B8" s="18" t="n">
        <f aca="false">B6*B7</f>
        <v>5700000</v>
      </c>
      <c r="C8" s="11" t="s">
        <v>84</v>
      </c>
    </row>
    <row r="9" customFormat="false" ht="15" hidden="false" customHeight="false" outlineLevel="0" collapsed="false">
      <c r="A9" s="12" t="s">
        <v>85</v>
      </c>
      <c r="B9" s="27" t="n">
        <v>860000</v>
      </c>
      <c r="C9" s="15" t="s">
        <v>86</v>
      </c>
    </row>
    <row r="10" customFormat="false" ht="15" hidden="false" customHeight="false" outlineLevel="0" collapsed="false">
      <c r="A10" s="9" t="s">
        <v>87</v>
      </c>
      <c r="B10" s="28" t="n">
        <v>0.6</v>
      </c>
      <c r="C10" s="11" t="s">
        <v>88</v>
      </c>
    </row>
    <row r="11" customFormat="false" ht="15" hidden="false" customHeight="false" outlineLevel="0" collapsed="false">
      <c r="A11" s="12" t="s">
        <v>89</v>
      </c>
      <c r="B11" s="29" t="n">
        <f aca="false">B9*B10</f>
        <v>516000</v>
      </c>
      <c r="C11" s="15" t="s">
        <v>90</v>
      </c>
    </row>
    <row r="12" customFormat="false" ht="15" hidden="false" customHeight="false" outlineLevel="0" collapsed="false">
      <c r="A12" s="9" t="s">
        <v>91</v>
      </c>
      <c r="B12" s="25" t="n">
        <v>5000</v>
      </c>
      <c r="C12" s="11" t="s">
        <v>92</v>
      </c>
    </row>
    <row r="13" customFormat="false" ht="15" hidden="false" customHeight="false" outlineLevel="0" collapsed="false">
      <c r="A13" s="12" t="s">
        <v>93</v>
      </c>
      <c r="B13" s="30" t="n">
        <v>15</v>
      </c>
      <c r="C13" s="15" t="s">
        <v>94</v>
      </c>
    </row>
    <row r="14" customFormat="false" ht="15" hidden="false" customHeight="false" outlineLevel="0" collapsed="false">
      <c r="A14" s="9" t="s">
        <v>95</v>
      </c>
      <c r="B14" s="28" t="n">
        <v>0.15</v>
      </c>
      <c r="C14" s="11" t="s">
        <v>96</v>
      </c>
    </row>
    <row r="15" customFormat="false" ht="15" hidden="false" customHeight="false" outlineLevel="0" collapsed="false">
      <c r="A15" s="12" t="s">
        <v>97</v>
      </c>
      <c r="B15" s="29" t="n">
        <f aca="false">B8*(1-B14)</f>
        <v>4845000</v>
      </c>
      <c r="C15" s="15" t="s">
        <v>98</v>
      </c>
    </row>
    <row r="17" customFormat="false" ht="15" hidden="false" customHeight="false" outlineLevel="0" collapsed="false">
      <c r="A17" s="23" t="s">
        <v>99</v>
      </c>
      <c r="B17" s="23"/>
      <c r="C17" s="23"/>
    </row>
    <row r="18" customFormat="false" ht="15" hidden="false" customHeight="false" outlineLevel="0" collapsed="false">
      <c r="A18" s="9" t="s">
        <v>100</v>
      </c>
      <c r="B18" s="25" t="n">
        <v>1400000</v>
      </c>
      <c r="C18" s="11" t="s">
        <v>101</v>
      </c>
    </row>
    <row r="19" customFormat="false" ht="15" hidden="false" customHeight="false" outlineLevel="0" collapsed="false">
      <c r="A19" s="12" t="s">
        <v>102</v>
      </c>
      <c r="B19" s="27" t="n">
        <v>3400000</v>
      </c>
      <c r="C19" s="15" t="s">
        <v>103</v>
      </c>
    </row>
    <row r="20" customFormat="false" ht="15" hidden="false" customHeight="false" outlineLevel="0" collapsed="false">
      <c r="A20" s="9" t="s">
        <v>104</v>
      </c>
      <c r="B20" s="25" t="n">
        <v>600000</v>
      </c>
      <c r="C20" s="11" t="s">
        <v>105</v>
      </c>
    </row>
    <row r="21" customFormat="false" ht="15" hidden="false" customHeight="false" outlineLevel="0" collapsed="false">
      <c r="A21" s="12" t="s">
        <v>106</v>
      </c>
      <c r="B21" s="27" t="n">
        <v>300000</v>
      </c>
      <c r="C21" s="15" t="s">
        <v>78</v>
      </c>
    </row>
    <row r="22" customFormat="false" ht="15" hidden="false" customHeight="false" outlineLevel="0" collapsed="false">
      <c r="A22" s="31" t="s">
        <v>107</v>
      </c>
      <c r="B22" s="18" t="n">
        <f aca="false">SUM(B18:B21)</f>
        <v>5700000</v>
      </c>
      <c r="C22" s="11"/>
    </row>
    <row r="23" customFormat="false" ht="15" hidden="false" customHeight="false" outlineLevel="0" collapsed="false">
      <c r="A23" s="12" t="s">
        <v>108</v>
      </c>
      <c r="B23" s="32" t="n">
        <v>0.045</v>
      </c>
      <c r="C23" s="15" t="s">
        <v>109</v>
      </c>
    </row>
    <row r="24" customFormat="false" ht="15" hidden="false" customHeight="false" outlineLevel="0" collapsed="false">
      <c r="A24" s="9" t="s">
        <v>110</v>
      </c>
      <c r="B24" s="33" t="n">
        <v>20</v>
      </c>
      <c r="C24" s="11" t="s">
        <v>111</v>
      </c>
    </row>
    <row r="25" customFormat="false" ht="15" hidden="false" customHeight="false" outlineLevel="0" collapsed="false">
      <c r="A25" s="12" t="s">
        <v>112</v>
      </c>
      <c r="B25" s="29" t="n">
        <f aca="false">B19/B24</f>
        <v>170000</v>
      </c>
      <c r="C25" s="15" t="s">
        <v>113</v>
      </c>
    </row>
    <row r="26" customFormat="false" ht="15" hidden="false" customHeight="false" outlineLevel="0" collapsed="false">
      <c r="A26" s="9" t="s">
        <v>114</v>
      </c>
      <c r="B26" s="18" t="n">
        <f aca="false">B19*B23</f>
        <v>153000</v>
      </c>
      <c r="C26" s="11" t="s">
        <v>115</v>
      </c>
    </row>
    <row r="27" customFormat="false" ht="15" hidden="false" customHeight="false" outlineLevel="0" collapsed="false">
      <c r="A27" s="12" t="s">
        <v>116</v>
      </c>
      <c r="B27" s="29" t="n">
        <f aca="false">B21/5</f>
        <v>60000</v>
      </c>
      <c r="C27" s="15" t="s">
        <v>117</v>
      </c>
    </row>
    <row r="29" customFormat="false" ht="15" hidden="false" customHeight="false" outlineLevel="0" collapsed="false">
      <c r="A29" s="23" t="s">
        <v>118</v>
      </c>
      <c r="B29" s="23"/>
      <c r="C29" s="23"/>
    </row>
    <row r="30" customFormat="false" ht="15" hidden="false" customHeight="false" outlineLevel="0" collapsed="false">
      <c r="A30" s="9" t="s">
        <v>119</v>
      </c>
      <c r="B30" s="34" t="n">
        <v>5</v>
      </c>
      <c r="C30" s="11" t="s">
        <v>120</v>
      </c>
    </row>
    <row r="31" customFormat="false" ht="15" hidden="false" customHeight="false" outlineLevel="0" collapsed="false">
      <c r="A31" s="12" t="s">
        <v>121</v>
      </c>
      <c r="B31" s="27" t="n">
        <v>5000</v>
      </c>
      <c r="C31" s="15" t="s">
        <v>92</v>
      </c>
    </row>
    <row r="32" customFormat="false" ht="15" hidden="false" customHeight="false" outlineLevel="0" collapsed="false">
      <c r="A32" s="9" t="s">
        <v>122</v>
      </c>
      <c r="B32" s="34" t="n">
        <v>3</v>
      </c>
      <c r="C32" s="11" t="s">
        <v>123</v>
      </c>
    </row>
    <row r="33" customFormat="false" ht="15" hidden="false" customHeight="false" outlineLevel="0" collapsed="false">
      <c r="A33" s="12" t="s">
        <v>124</v>
      </c>
      <c r="B33" s="27" t="n">
        <v>3000</v>
      </c>
      <c r="C33" s="15" t="s">
        <v>92</v>
      </c>
    </row>
    <row r="34" customFormat="false" ht="15" hidden="false" customHeight="false" outlineLevel="0" collapsed="false">
      <c r="A34" s="9" t="s">
        <v>125</v>
      </c>
      <c r="B34" s="25" t="n">
        <v>2000</v>
      </c>
      <c r="C34" s="11" t="s">
        <v>92</v>
      </c>
    </row>
    <row r="35" customFormat="false" ht="15" hidden="false" customHeight="false" outlineLevel="0" collapsed="false">
      <c r="A35" s="12" t="s">
        <v>126</v>
      </c>
      <c r="B35" s="27" t="n">
        <v>250000</v>
      </c>
      <c r="C35" s="15" t="s">
        <v>92</v>
      </c>
    </row>
    <row r="36" customFormat="false" ht="15" hidden="false" customHeight="false" outlineLevel="0" collapsed="false">
      <c r="A36" s="9" t="s">
        <v>127</v>
      </c>
      <c r="B36" s="25" t="n">
        <v>10000</v>
      </c>
      <c r="C36" s="11" t="s">
        <v>92</v>
      </c>
    </row>
    <row r="37" customFormat="false" ht="15" hidden="false" customHeight="false" outlineLevel="0" collapsed="false">
      <c r="A37" s="12" t="s">
        <v>128</v>
      </c>
      <c r="B37" s="35" t="n">
        <v>10</v>
      </c>
      <c r="C37" s="15" t="s">
        <v>129</v>
      </c>
    </row>
    <row r="38" customFormat="false" ht="15" hidden="false" customHeight="false" outlineLevel="0" collapsed="false">
      <c r="A38" s="9" t="s">
        <v>130</v>
      </c>
      <c r="B38" s="25" t="n">
        <v>5000</v>
      </c>
      <c r="C38" s="11" t="s">
        <v>92</v>
      </c>
    </row>
    <row r="39" customFormat="false" ht="15" hidden="false" customHeight="false" outlineLevel="0" collapsed="false">
      <c r="A39" s="12" t="s">
        <v>131</v>
      </c>
      <c r="B39" s="27" t="n">
        <v>30000</v>
      </c>
      <c r="C39" s="15" t="s">
        <v>132</v>
      </c>
    </row>
    <row r="40" customFormat="false" ht="15" hidden="false" customHeight="false" outlineLevel="0" collapsed="false">
      <c r="A40" s="9" t="s">
        <v>133</v>
      </c>
      <c r="B40" s="25" t="n">
        <v>10000</v>
      </c>
      <c r="C40" s="11" t="s">
        <v>134</v>
      </c>
    </row>
    <row r="41" customFormat="false" ht="15" hidden="false" customHeight="false" outlineLevel="0" collapsed="false">
      <c r="A41" s="12" t="s">
        <v>135</v>
      </c>
      <c r="B41" s="35" t="n">
        <v>1</v>
      </c>
      <c r="C41" s="15" t="s">
        <v>136</v>
      </c>
    </row>
    <row r="42" customFormat="false" ht="15" hidden="false" customHeight="false" outlineLevel="0" collapsed="false">
      <c r="A42" s="9" t="s">
        <v>137</v>
      </c>
      <c r="B42" s="28" t="n">
        <v>0.02</v>
      </c>
      <c r="C42" s="11" t="s">
        <v>138</v>
      </c>
    </row>
  </sheetData>
  <mergeCells count="5">
    <mergeCell ref="A1:C1"/>
    <mergeCell ref="A2:C2"/>
    <mergeCell ref="A4:C4"/>
    <mergeCell ref="A17:C17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22" t="s">
        <v>139</v>
      </c>
      <c r="B1" s="22"/>
      <c r="C1" s="22"/>
      <c r="D1" s="22"/>
    </row>
    <row r="2" customFormat="false" ht="15" hidden="false" customHeight="false" outlineLevel="0" collapsed="false">
      <c r="A2" s="3" t="s">
        <v>140</v>
      </c>
      <c r="B2" s="3"/>
      <c r="C2" s="3"/>
      <c r="D2" s="3"/>
    </row>
    <row r="3" customFormat="false" ht="15" hidden="false" customHeight="false" outlineLevel="0" collapsed="false">
      <c r="A3" s="16" t="s">
        <v>141</v>
      </c>
      <c r="B3" s="16" t="s">
        <v>142</v>
      </c>
      <c r="C3" s="16" t="s">
        <v>143</v>
      </c>
      <c r="D3" s="16" t="s">
        <v>144</v>
      </c>
    </row>
    <row r="4" customFormat="false" ht="15" hidden="false" customHeight="false" outlineLevel="0" collapsed="false">
      <c r="A4" s="23" t="s">
        <v>145</v>
      </c>
      <c r="B4" s="23"/>
      <c r="C4" s="23"/>
      <c r="D4" s="23"/>
    </row>
    <row r="5" customFormat="false" ht="15" hidden="false" customHeight="false" outlineLevel="0" collapsed="false">
      <c r="A5" s="12" t="s">
        <v>146</v>
      </c>
      <c r="B5" s="27" t="n">
        <v>2200000</v>
      </c>
      <c r="C5" s="29" t="n">
        <f aca="false">B5</f>
        <v>2200000</v>
      </c>
      <c r="D5" s="15" t="s">
        <v>147</v>
      </c>
    </row>
    <row r="6" customFormat="false" ht="15" hidden="false" customHeight="false" outlineLevel="0" collapsed="false">
      <c r="A6" s="9" t="s">
        <v>148</v>
      </c>
      <c r="B6" s="25" t="n">
        <v>1500000</v>
      </c>
      <c r="C6" s="18" t="n">
        <f aca="false">B6</f>
        <v>1500000</v>
      </c>
      <c r="D6" s="11" t="s">
        <v>149</v>
      </c>
    </row>
    <row r="7" customFormat="false" ht="15" hidden="false" customHeight="false" outlineLevel="0" collapsed="false">
      <c r="A7" s="12" t="s">
        <v>150</v>
      </c>
      <c r="B7" s="27" t="n">
        <v>600000</v>
      </c>
      <c r="C7" s="29" t="n">
        <f aca="false">B7</f>
        <v>600000</v>
      </c>
      <c r="D7" s="15" t="s">
        <v>151</v>
      </c>
    </row>
    <row r="8" customFormat="false" ht="15" hidden="false" customHeight="false" outlineLevel="0" collapsed="false">
      <c r="A8" s="9" t="s">
        <v>152</v>
      </c>
      <c r="B8" s="25" t="n">
        <v>150000</v>
      </c>
      <c r="C8" s="18" t="n">
        <f aca="false">B8</f>
        <v>150000</v>
      </c>
      <c r="D8" s="11" t="s">
        <v>153</v>
      </c>
    </row>
    <row r="9" customFormat="false" ht="15" hidden="false" customHeight="false" outlineLevel="0" collapsed="false">
      <c r="A9" s="12" t="s">
        <v>154</v>
      </c>
      <c r="B9" s="27" t="n">
        <v>500000</v>
      </c>
      <c r="C9" s="29" t="n">
        <f aca="false">B9</f>
        <v>500000</v>
      </c>
      <c r="D9" s="15" t="s">
        <v>155</v>
      </c>
    </row>
    <row r="10" customFormat="false" ht="15" hidden="false" customHeight="false" outlineLevel="0" collapsed="false">
      <c r="A10" s="9" t="s">
        <v>156</v>
      </c>
      <c r="B10" s="25" t="n">
        <v>350000</v>
      </c>
      <c r="C10" s="18" t="n">
        <f aca="false">B10</f>
        <v>350000</v>
      </c>
      <c r="D10" s="11" t="s">
        <v>157</v>
      </c>
    </row>
    <row r="11" customFormat="false" ht="15" hidden="false" customHeight="false" outlineLevel="0" collapsed="false">
      <c r="A11" s="12" t="s">
        <v>158</v>
      </c>
      <c r="B11" s="27" t="n">
        <v>250000</v>
      </c>
      <c r="C11" s="29" t="n">
        <f aca="false">B11</f>
        <v>250000</v>
      </c>
      <c r="D11" s="15" t="s">
        <v>159</v>
      </c>
    </row>
    <row r="12" customFormat="false" ht="15" hidden="false" customHeight="false" outlineLevel="0" collapsed="false">
      <c r="A12" s="9" t="s">
        <v>160</v>
      </c>
      <c r="B12" s="25" t="n">
        <v>150000</v>
      </c>
      <c r="C12" s="18" t="n">
        <f aca="false">B12</f>
        <v>150000</v>
      </c>
      <c r="D12" s="11" t="s">
        <v>161</v>
      </c>
    </row>
    <row r="13" customFormat="false" ht="15" hidden="false" customHeight="false" outlineLevel="0" collapsed="false">
      <c r="A13" s="36" t="s">
        <v>162</v>
      </c>
      <c r="B13" s="37" t="n">
        <f aca="false">SUM(B5:B12)</f>
        <v>5700000</v>
      </c>
      <c r="C13" s="37" t="n">
        <f aca="false">B13*(1-Assumptions!B14)</f>
        <v>4845000</v>
      </c>
      <c r="D13" s="38" t="s">
        <v>163</v>
      </c>
    </row>
    <row r="14" customFormat="false" ht="15" hidden="false" customHeight="false" outlineLevel="0" collapsed="false">
      <c r="A14" s="14" t="s">
        <v>164</v>
      </c>
      <c r="B14" s="39" t="n">
        <f aca="false">Assumptions!B6</f>
        <v>5700000</v>
      </c>
      <c r="C14" s="39" t="n">
        <f aca="false">Assumptions!B15</f>
        <v>4845000</v>
      </c>
      <c r="D14" s="14" t="s">
        <v>165</v>
      </c>
    </row>
    <row r="16" customFormat="false" ht="15" hidden="false" customHeight="false" outlineLevel="0" collapsed="false">
      <c r="A16" s="23" t="s">
        <v>166</v>
      </c>
      <c r="B16" s="23"/>
      <c r="C16" s="23"/>
      <c r="D16" s="23"/>
    </row>
    <row r="17" customFormat="false" ht="15" hidden="false" customHeight="false" outlineLevel="0" collapsed="false">
      <c r="A17" s="16" t="s">
        <v>167</v>
      </c>
      <c r="B17" s="16" t="s">
        <v>168</v>
      </c>
      <c r="C17" s="16" t="s">
        <v>169</v>
      </c>
      <c r="D17" s="16" t="s">
        <v>144</v>
      </c>
    </row>
    <row r="18" customFormat="false" ht="15" hidden="false" customHeight="false" outlineLevel="0" collapsed="false">
      <c r="A18" s="12" t="s">
        <v>170</v>
      </c>
      <c r="B18" s="39" t="n">
        <f aca="false">Assumptions!B18</f>
        <v>1400000</v>
      </c>
      <c r="C18" s="40" t="n">
        <f aca="false">B18/B22</f>
        <v>0.245614035087719</v>
      </c>
      <c r="D18" s="14" t="s">
        <v>78</v>
      </c>
    </row>
    <row r="19" customFormat="false" ht="15" hidden="false" customHeight="false" outlineLevel="0" collapsed="false">
      <c r="A19" s="9" t="s">
        <v>171</v>
      </c>
      <c r="B19" s="41" t="n">
        <f aca="false">Assumptions!B19</f>
        <v>3400000</v>
      </c>
      <c r="C19" s="20" t="n">
        <f aca="false">B19/B22</f>
        <v>0.596491228070175</v>
      </c>
      <c r="D19" s="3" t="s">
        <v>172</v>
      </c>
    </row>
    <row r="20" customFormat="false" ht="15" hidden="false" customHeight="false" outlineLevel="0" collapsed="false">
      <c r="A20" s="12" t="s">
        <v>173</v>
      </c>
      <c r="B20" s="39" t="n">
        <f aca="false">Assumptions!B20</f>
        <v>600000</v>
      </c>
      <c r="C20" s="40" t="n">
        <f aca="false">B20/B22</f>
        <v>0.105263157894737</v>
      </c>
      <c r="D20" s="14" t="s">
        <v>174</v>
      </c>
    </row>
    <row r="21" customFormat="false" ht="15" hidden="false" customHeight="false" outlineLevel="0" collapsed="false">
      <c r="A21" s="9" t="s">
        <v>175</v>
      </c>
      <c r="B21" s="41" t="n">
        <f aca="false">Assumptions!B21</f>
        <v>300000</v>
      </c>
      <c r="C21" s="20" t="n">
        <f aca="false">B21/B22</f>
        <v>0.0526315789473684</v>
      </c>
      <c r="D21" s="3" t="s">
        <v>176</v>
      </c>
    </row>
    <row r="22" customFormat="false" ht="15" hidden="false" customHeight="false" outlineLevel="0" collapsed="false">
      <c r="A22" s="42" t="s">
        <v>177</v>
      </c>
      <c r="B22" s="43" t="n">
        <f aca="false">SUM(B18:B21)</f>
        <v>5700000</v>
      </c>
      <c r="C22" s="44" t="s">
        <v>178</v>
      </c>
      <c r="D22" s="45"/>
    </row>
    <row r="24" customFormat="false" ht="15" hidden="false" customHeight="false" outlineLevel="0" collapsed="false">
      <c r="A24" s="23" t="s">
        <v>179</v>
      </c>
      <c r="B24" s="23"/>
      <c r="C24" s="23"/>
      <c r="D24" s="23"/>
    </row>
    <row r="25" customFormat="false" ht="15" hidden="false" customHeight="false" outlineLevel="0" collapsed="false">
      <c r="A25" s="16" t="s">
        <v>180</v>
      </c>
      <c r="B25" s="16" t="s">
        <v>181</v>
      </c>
      <c r="C25" s="16"/>
      <c r="D25" s="16" t="s">
        <v>144</v>
      </c>
    </row>
    <row r="26" customFormat="false" ht="15" hidden="false" customHeight="false" outlineLevel="0" collapsed="false">
      <c r="A26" s="9" t="s">
        <v>182</v>
      </c>
      <c r="B26" s="41" t="n">
        <f aca="false">Assumptions!B25</f>
        <v>170000</v>
      </c>
      <c r="C26" s="9"/>
      <c r="D26" s="3" t="s">
        <v>183</v>
      </c>
    </row>
    <row r="27" customFormat="false" ht="15" hidden="false" customHeight="false" outlineLevel="0" collapsed="false">
      <c r="A27" s="12" t="s">
        <v>184</v>
      </c>
      <c r="B27" s="39" t="n">
        <f aca="false">Assumptions!B26</f>
        <v>153000</v>
      </c>
      <c r="C27" s="12"/>
      <c r="D27" s="14" t="s">
        <v>185</v>
      </c>
    </row>
    <row r="28" customFormat="false" ht="15" hidden="false" customHeight="false" outlineLevel="0" collapsed="false">
      <c r="A28" s="9" t="s">
        <v>186</v>
      </c>
      <c r="B28" s="41" t="n">
        <f aca="false">Assumptions!B27</f>
        <v>60000</v>
      </c>
      <c r="C28" s="9"/>
      <c r="D28" s="3" t="s">
        <v>187</v>
      </c>
    </row>
    <row r="29" customFormat="false" ht="15" hidden="false" customHeight="false" outlineLevel="0" collapsed="false">
      <c r="A29" s="36" t="s">
        <v>188</v>
      </c>
      <c r="B29" s="37" t="n">
        <f aca="false">SUM(B26:B28)</f>
        <v>383000</v>
      </c>
      <c r="C29" s="45"/>
      <c r="D29" s="46" t="s">
        <v>189</v>
      </c>
    </row>
  </sheetData>
  <mergeCells count="5">
    <mergeCell ref="A1:D1"/>
    <mergeCell ref="A2:D2"/>
    <mergeCell ref="A4:D4"/>
    <mergeCell ref="A16:D16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0"/>
    <col collapsed="false" customWidth="true" hidden="false" outlineLevel="0" max="14" min="14" style="0" width="14"/>
    <col collapsed="false" customWidth="true" hidden="false" outlineLevel="0" max="15" min="15" style="0" width="42"/>
  </cols>
  <sheetData>
    <row r="1" customFormat="false" ht="27.75" hidden="false" customHeight="true" outlineLevel="0" collapsed="false">
      <c r="A1" s="22" t="s">
        <v>190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15" hidden="false" customHeight="false" outlineLevel="0" collapsed="false">
      <c r="A2" s="3" t="s">
        <v>191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16" t="s">
        <v>192</v>
      </c>
      <c r="B3" s="16" t="s">
        <v>193</v>
      </c>
      <c r="C3" s="16" t="s">
        <v>194</v>
      </c>
      <c r="D3" s="16" t="s">
        <v>195</v>
      </c>
      <c r="E3" s="16" t="s">
        <v>196</v>
      </c>
      <c r="F3" s="16" t="s">
        <v>197</v>
      </c>
      <c r="G3" s="16" t="s">
        <v>198</v>
      </c>
      <c r="H3" s="16" t="s">
        <v>199</v>
      </c>
      <c r="I3" s="16" t="s">
        <v>200</v>
      </c>
      <c r="J3" s="16" t="s">
        <v>201</v>
      </c>
      <c r="K3" s="16" t="s">
        <v>202</v>
      </c>
      <c r="L3" s="16" t="s">
        <v>203</v>
      </c>
      <c r="M3" s="16" t="s">
        <v>204</v>
      </c>
      <c r="N3" s="16" t="s">
        <v>205</v>
      </c>
      <c r="O3" s="16" t="s">
        <v>206</v>
      </c>
    </row>
    <row r="4" customFormat="false" ht="15" hidden="false" customHeight="false" outlineLevel="0" collapsed="false">
      <c r="A4" s="23" t="s">
        <v>207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customFormat="false" ht="22.35" hidden="false" customHeight="false" outlineLevel="0" collapsed="false">
      <c r="A5" s="9" t="s">
        <v>208</v>
      </c>
      <c r="B5" s="18" t="n">
        <f aca="false">Assumptions!$B$30*Assumptions!$B$31</f>
        <v>25000</v>
      </c>
      <c r="C5" s="18" t="n">
        <f aca="false">Assumptions!$B$30*Assumptions!$B$31</f>
        <v>25000</v>
      </c>
      <c r="D5" s="18" t="n">
        <f aca="false">Assumptions!$B$30*Assumptions!$B$31</f>
        <v>25000</v>
      </c>
      <c r="E5" s="18" t="n">
        <f aca="false">Assumptions!$B$30*Assumptions!$B$31</f>
        <v>25000</v>
      </c>
      <c r="F5" s="18" t="n">
        <f aca="false">Assumptions!$B$30*Assumptions!$B$31</f>
        <v>25000</v>
      </c>
      <c r="G5" s="18" t="n">
        <f aca="false">Assumptions!$B$30*Assumptions!$B$31</f>
        <v>25000</v>
      </c>
      <c r="H5" s="18" t="n">
        <f aca="false">Assumptions!$B$30*Assumptions!$B$31</f>
        <v>25000</v>
      </c>
      <c r="I5" s="18" t="n">
        <f aca="false">Assumptions!$B$30*Assumptions!$B$31</f>
        <v>25000</v>
      </c>
      <c r="J5" s="18" t="n">
        <f aca="false">Assumptions!$B$30*Assumptions!$B$31</f>
        <v>25000</v>
      </c>
      <c r="K5" s="18" t="n">
        <f aca="false">Assumptions!$B$30*Assumptions!$B$31</f>
        <v>25000</v>
      </c>
      <c r="L5" s="18" t="n">
        <f aca="false">Assumptions!$B$30*Assumptions!$B$31</f>
        <v>25000</v>
      </c>
      <c r="M5" s="18" t="n">
        <f aca="false">Assumptions!$B$30*Assumptions!$B$31</f>
        <v>25000</v>
      </c>
      <c r="N5" s="47" t="n">
        <f aca="false">SUM(B5:M5)</f>
        <v>300000</v>
      </c>
      <c r="O5" s="11" t="s">
        <v>209</v>
      </c>
    </row>
    <row r="6" customFormat="false" ht="22.35" hidden="false" customHeight="false" outlineLevel="0" collapsed="false">
      <c r="A6" s="12" t="s">
        <v>210</v>
      </c>
      <c r="B6" s="29" t="n">
        <f aca="false">Assumptions!$B$32*Assumptions!$B$33</f>
        <v>9000</v>
      </c>
      <c r="C6" s="29" t="n">
        <f aca="false">Assumptions!$B$32*Assumptions!$B$33</f>
        <v>9000</v>
      </c>
      <c r="D6" s="29" t="n">
        <f aca="false">Assumptions!$B$32*Assumptions!$B$33</f>
        <v>9000</v>
      </c>
      <c r="E6" s="29" t="n">
        <f aca="false">Assumptions!$B$32*Assumptions!$B$33</f>
        <v>9000</v>
      </c>
      <c r="F6" s="29" t="n">
        <f aca="false">Assumptions!$B$32*Assumptions!$B$33</f>
        <v>9000</v>
      </c>
      <c r="G6" s="29" t="n">
        <f aca="false">Assumptions!$B$32*Assumptions!$B$33</f>
        <v>9000</v>
      </c>
      <c r="H6" s="29" t="n">
        <f aca="false">Assumptions!$B$32*Assumptions!$B$33</f>
        <v>9000</v>
      </c>
      <c r="I6" s="29" t="n">
        <f aca="false">Assumptions!$B$32*Assumptions!$B$33</f>
        <v>9000</v>
      </c>
      <c r="J6" s="29" t="n">
        <f aca="false">Assumptions!$B$32*Assumptions!$B$33</f>
        <v>9000</v>
      </c>
      <c r="K6" s="29" t="n">
        <f aca="false">Assumptions!$B$32*Assumptions!$B$33</f>
        <v>9000</v>
      </c>
      <c r="L6" s="29" t="n">
        <f aca="false">Assumptions!$B$32*Assumptions!$B$33</f>
        <v>9000</v>
      </c>
      <c r="M6" s="29" t="n">
        <f aca="false">Assumptions!$B$32*Assumptions!$B$33</f>
        <v>9000</v>
      </c>
      <c r="N6" s="48" t="n">
        <f aca="false">SUM(B6:M6)</f>
        <v>108000</v>
      </c>
      <c r="O6" s="15" t="s">
        <v>211</v>
      </c>
    </row>
    <row r="7" customFormat="false" ht="15" hidden="false" customHeight="false" outlineLevel="0" collapsed="false">
      <c r="A7" s="5" t="s">
        <v>212</v>
      </c>
      <c r="B7" s="49" t="n">
        <f aca="false">B5+B6</f>
        <v>34000</v>
      </c>
      <c r="C7" s="49" t="n">
        <f aca="false">C5+C6</f>
        <v>34000</v>
      </c>
      <c r="D7" s="49" t="n">
        <f aca="false">D5+D6</f>
        <v>34000</v>
      </c>
      <c r="E7" s="49" t="n">
        <f aca="false">E5+E6</f>
        <v>34000</v>
      </c>
      <c r="F7" s="49" t="n">
        <f aca="false">F5+F6</f>
        <v>34000</v>
      </c>
      <c r="G7" s="49" t="n">
        <f aca="false">G5+G6</f>
        <v>34000</v>
      </c>
      <c r="H7" s="49" t="n">
        <f aca="false">H5+H6</f>
        <v>34000</v>
      </c>
      <c r="I7" s="49" t="n">
        <f aca="false">I5+I6</f>
        <v>34000</v>
      </c>
      <c r="J7" s="49" t="n">
        <f aca="false">J5+J6</f>
        <v>34000</v>
      </c>
      <c r="K7" s="49" t="n">
        <f aca="false">K5+K6</f>
        <v>34000</v>
      </c>
      <c r="L7" s="49" t="n">
        <f aca="false">L5+L6</f>
        <v>34000</v>
      </c>
      <c r="M7" s="49" t="n">
        <f aca="false">M5+M6</f>
        <v>34000</v>
      </c>
      <c r="N7" s="49" t="n">
        <f aca="false">N5+N6</f>
        <v>408000</v>
      </c>
      <c r="O7" s="50"/>
    </row>
    <row r="8" customFormat="false" ht="15" hidden="false" customHeight="false" outlineLevel="0" collapsed="false">
      <c r="A8" s="23" t="s">
        <v>213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15" hidden="false" customHeight="false" outlineLevel="0" collapsed="false">
      <c r="A9" s="9" t="s">
        <v>214</v>
      </c>
      <c r="B9" s="18" t="n">
        <f aca="false">Assumptions!$B$34</f>
        <v>2000</v>
      </c>
      <c r="C9" s="18" t="n">
        <f aca="false">Assumptions!$B$34</f>
        <v>2000</v>
      </c>
      <c r="D9" s="18" t="n">
        <f aca="false">Assumptions!$B$34</f>
        <v>2000</v>
      </c>
      <c r="E9" s="18" t="n">
        <f aca="false">Assumptions!$B$34</f>
        <v>2000</v>
      </c>
      <c r="F9" s="18" t="n">
        <f aca="false">Assumptions!$B$34</f>
        <v>2000</v>
      </c>
      <c r="G9" s="18" t="n">
        <f aca="false">Assumptions!$B$34</f>
        <v>2000</v>
      </c>
      <c r="H9" s="18" t="n">
        <f aca="false">Assumptions!$B$34</f>
        <v>2000</v>
      </c>
      <c r="I9" s="18" t="n">
        <f aca="false">Assumptions!$B$34</f>
        <v>2000</v>
      </c>
      <c r="J9" s="18" t="n">
        <f aca="false">Assumptions!$B$34</f>
        <v>2000</v>
      </c>
      <c r="K9" s="18" t="n">
        <f aca="false">Assumptions!$B$34</f>
        <v>2000</v>
      </c>
      <c r="L9" s="18" t="n">
        <f aca="false">Assumptions!$B$34</f>
        <v>2000</v>
      </c>
      <c r="M9" s="18" t="n">
        <f aca="false">Assumptions!$B$34</f>
        <v>2000</v>
      </c>
      <c r="N9" s="47" t="n">
        <f aca="false">SUM(B9:M9)</f>
        <v>24000</v>
      </c>
      <c r="O9" s="11" t="s">
        <v>92</v>
      </c>
    </row>
    <row r="10" customFormat="false" ht="22.35" hidden="false" customHeight="false" outlineLevel="0" collapsed="false">
      <c r="A10" s="12" t="s">
        <v>215</v>
      </c>
      <c r="B10" s="29" t="n">
        <f aca="false">ROUND(Assumptions!$B$35*0.1,0)</f>
        <v>25000</v>
      </c>
      <c r="C10" s="29" t="n">
        <f aca="false">ROUND(Assumptions!$B$35*0.1,0)</f>
        <v>25000</v>
      </c>
      <c r="D10" s="29" t="n">
        <f aca="false">ROUND(Assumptions!$B$35*0.1,0)</f>
        <v>25000</v>
      </c>
      <c r="E10" s="29" t="n">
        <f aca="false">ROUND(Assumptions!$B$35*0.1,0)</f>
        <v>25000</v>
      </c>
      <c r="F10" s="29" t="n">
        <f aca="false">ROUND(Assumptions!$B$35*0.1,0)</f>
        <v>25000</v>
      </c>
      <c r="G10" s="29" t="n">
        <f aca="false">ROUND(Assumptions!$B$35*0.1,0)</f>
        <v>25000</v>
      </c>
      <c r="H10" s="29" t="n">
        <f aca="false">ROUND(Assumptions!$B$35*0.0667,0)</f>
        <v>16675</v>
      </c>
      <c r="I10" s="29" t="n">
        <f aca="false">ROUND(Assumptions!$B$35*0.0667,0)</f>
        <v>16675</v>
      </c>
      <c r="J10" s="29" t="n">
        <f aca="false">ROUND(Assumptions!$B$35*0.0667,0)</f>
        <v>16675</v>
      </c>
      <c r="K10" s="29" t="n">
        <f aca="false">ROUND(Assumptions!$B$35*0.0667,0)</f>
        <v>16675</v>
      </c>
      <c r="L10" s="29" t="n">
        <f aca="false">ROUND(Assumptions!$B$35*0.0667,0)</f>
        <v>16675</v>
      </c>
      <c r="M10" s="29" t="n">
        <f aca="false">ROUND(Assumptions!$B$35*0.0667,0)</f>
        <v>16675</v>
      </c>
      <c r="N10" s="48" t="n">
        <f aca="false">SUM(B10:M10)</f>
        <v>250050</v>
      </c>
      <c r="O10" s="15" t="s">
        <v>216</v>
      </c>
    </row>
    <row r="11" customFormat="false" ht="15" hidden="false" customHeight="false" outlineLevel="0" collapsed="false">
      <c r="A11" s="5" t="s">
        <v>212</v>
      </c>
      <c r="B11" s="49" t="n">
        <f aca="false">B9+B10</f>
        <v>27000</v>
      </c>
      <c r="C11" s="49" t="n">
        <f aca="false">C9+C10</f>
        <v>27000</v>
      </c>
      <c r="D11" s="49" t="n">
        <f aca="false">D9+D10</f>
        <v>27000</v>
      </c>
      <c r="E11" s="49" t="n">
        <f aca="false">E9+E10</f>
        <v>27000</v>
      </c>
      <c r="F11" s="49" t="n">
        <f aca="false">F9+F10</f>
        <v>27000</v>
      </c>
      <c r="G11" s="49" t="n">
        <f aca="false">G9+G10</f>
        <v>27000</v>
      </c>
      <c r="H11" s="49" t="n">
        <f aca="false">H9+H10</f>
        <v>18675</v>
      </c>
      <c r="I11" s="49" t="n">
        <f aca="false">I9+I10</f>
        <v>18675</v>
      </c>
      <c r="J11" s="49" t="n">
        <f aca="false">J9+J10</f>
        <v>18675</v>
      </c>
      <c r="K11" s="49" t="n">
        <f aca="false">K9+K10</f>
        <v>18675</v>
      </c>
      <c r="L11" s="49" t="n">
        <f aca="false">L9+L10</f>
        <v>18675</v>
      </c>
      <c r="M11" s="49" t="n">
        <f aca="false">M9+M10</f>
        <v>18675</v>
      </c>
      <c r="N11" s="49" t="n">
        <f aca="false">N9+N10</f>
        <v>274050</v>
      </c>
      <c r="O11" s="50"/>
    </row>
    <row r="12" customFormat="false" ht="15" hidden="false" customHeight="false" outlineLevel="0" collapsed="false">
      <c r="A12" s="23" t="s">
        <v>217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customFormat="false" ht="22.35" hidden="false" customHeight="false" outlineLevel="0" collapsed="false">
      <c r="A13" s="9" t="s">
        <v>218</v>
      </c>
      <c r="B13" s="25" t="n">
        <v>0</v>
      </c>
      <c r="C13" s="25" t="n">
        <v>0</v>
      </c>
      <c r="D13" s="18" t="n">
        <f aca="false">Assumptions!$B$36</f>
        <v>10000</v>
      </c>
      <c r="E13" s="18" t="n">
        <f aca="false">Assumptions!$B$36</f>
        <v>10000</v>
      </c>
      <c r="F13" s="18" t="n">
        <f aca="false">Assumptions!$B$36</f>
        <v>10000</v>
      </c>
      <c r="G13" s="18" t="n">
        <f aca="false">Assumptions!$B$36</f>
        <v>10000</v>
      </c>
      <c r="H13" s="18" t="n">
        <f aca="false">Assumptions!$B$36</f>
        <v>10000</v>
      </c>
      <c r="I13" s="18" t="n">
        <f aca="false">Assumptions!$B$36</f>
        <v>10000</v>
      </c>
      <c r="J13" s="18" t="n">
        <f aca="false">Assumptions!$B$36</f>
        <v>10000</v>
      </c>
      <c r="K13" s="18" t="n">
        <f aca="false">Assumptions!$B$36</f>
        <v>10000</v>
      </c>
      <c r="L13" s="18" t="n">
        <f aca="false">Assumptions!$B$36</f>
        <v>10000</v>
      </c>
      <c r="M13" s="18" t="n">
        <f aca="false">Assumptions!$B$36</f>
        <v>10000</v>
      </c>
      <c r="N13" s="47" t="n">
        <f aca="false">SUM(B13:M13)</f>
        <v>100000</v>
      </c>
      <c r="O13" s="11" t="s">
        <v>219</v>
      </c>
    </row>
    <row r="14" customFormat="false" ht="22.35" hidden="false" customHeight="false" outlineLevel="0" collapsed="false">
      <c r="A14" s="12" t="s">
        <v>220</v>
      </c>
      <c r="B14" s="29" t="n">
        <f aca="false">Assumptions!$B$38</f>
        <v>5000</v>
      </c>
      <c r="C14" s="29" t="n">
        <f aca="false">Assumptions!$B$38</f>
        <v>5000</v>
      </c>
      <c r="D14" s="29" t="n">
        <f aca="false">Assumptions!$B$38</f>
        <v>5000</v>
      </c>
      <c r="E14" s="29" t="n">
        <f aca="false">Assumptions!$B$38</f>
        <v>5000</v>
      </c>
      <c r="F14" s="29" t="n">
        <f aca="false">Assumptions!$B$38</f>
        <v>5000</v>
      </c>
      <c r="G14" s="29" t="n">
        <f aca="false">Assumptions!$B$38</f>
        <v>5000</v>
      </c>
      <c r="H14" s="29" t="n">
        <f aca="false">Assumptions!$B$38</f>
        <v>5000</v>
      </c>
      <c r="I14" s="29" t="n">
        <f aca="false">Assumptions!$B$38</f>
        <v>5000</v>
      </c>
      <c r="J14" s="29" t="n">
        <f aca="false">Assumptions!$B$38</f>
        <v>5000</v>
      </c>
      <c r="K14" s="29" t="n">
        <f aca="false">Assumptions!$B$38</f>
        <v>5000</v>
      </c>
      <c r="L14" s="29" t="n">
        <f aca="false">Assumptions!$B$38</f>
        <v>5000</v>
      </c>
      <c r="M14" s="29" t="n">
        <f aca="false">Assumptions!$B$38</f>
        <v>5000</v>
      </c>
      <c r="N14" s="48" t="n">
        <f aca="false">SUM(B14:M14)</f>
        <v>60000</v>
      </c>
      <c r="O14" s="15" t="s">
        <v>221</v>
      </c>
    </row>
    <row r="15" customFormat="false" ht="15" hidden="false" customHeight="false" outlineLevel="0" collapsed="false">
      <c r="A15" s="5" t="s">
        <v>212</v>
      </c>
      <c r="B15" s="49" t="n">
        <f aca="false">B13+B14</f>
        <v>5000</v>
      </c>
      <c r="C15" s="49" t="n">
        <f aca="false">C13+C14</f>
        <v>5000</v>
      </c>
      <c r="D15" s="49" t="n">
        <f aca="false">D13+D14</f>
        <v>15000</v>
      </c>
      <c r="E15" s="49" t="n">
        <f aca="false">E13+E14</f>
        <v>15000</v>
      </c>
      <c r="F15" s="49" t="n">
        <f aca="false">F13+F14</f>
        <v>15000</v>
      </c>
      <c r="G15" s="49" t="n">
        <f aca="false">G13+G14</f>
        <v>15000</v>
      </c>
      <c r="H15" s="49" t="n">
        <f aca="false">H13+H14</f>
        <v>15000</v>
      </c>
      <c r="I15" s="49" t="n">
        <f aca="false">I13+I14</f>
        <v>15000</v>
      </c>
      <c r="J15" s="49" t="n">
        <f aca="false">J13+J14</f>
        <v>15000</v>
      </c>
      <c r="K15" s="49" t="n">
        <f aca="false">K13+K14</f>
        <v>15000</v>
      </c>
      <c r="L15" s="49" t="n">
        <f aca="false">L13+L14</f>
        <v>15000</v>
      </c>
      <c r="M15" s="49" t="n">
        <f aca="false">M13+M14</f>
        <v>15000</v>
      </c>
      <c r="N15" s="49" t="n">
        <f aca="false">N13+N14</f>
        <v>160000</v>
      </c>
      <c r="O15" s="50"/>
    </row>
    <row r="16" customFormat="false" ht="15" hidden="false" customHeight="false" outlineLevel="0" collapsed="false">
      <c r="A16" s="23" t="s">
        <v>222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customFormat="false" ht="22.35" hidden="false" customHeight="false" outlineLevel="0" collapsed="false">
      <c r="A17" s="9" t="s">
        <v>223</v>
      </c>
      <c r="B17" s="25" t="n">
        <v>0</v>
      </c>
      <c r="C17" s="25" t="n">
        <v>0</v>
      </c>
      <c r="D17" s="18" t="n">
        <f aca="false">ROUND(Assumptions!$B$39/4,0)</f>
        <v>7500</v>
      </c>
      <c r="E17" s="25" t="n">
        <v>0</v>
      </c>
      <c r="F17" s="25" t="n">
        <v>0</v>
      </c>
      <c r="G17" s="18" t="n">
        <f aca="false">ROUND(Assumptions!$B$39/4,0)</f>
        <v>7500</v>
      </c>
      <c r="H17" s="25" t="n">
        <v>0</v>
      </c>
      <c r="I17" s="25" t="n">
        <v>0</v>
      </c>
      <c r="J17" s="18" t="n">
        <f aca="false">ROUND(Assumptions!$B$39/4,0)</f>
        <v>7500</v>
      </c>
      <c r="K17" s="25" t="n">
        <v>0</v>
      </c>
      <c r="L17" s="25" t="n">
        <v>0</v>
      </c>
      <c r="M17" s="18" t="n">
        <f aca="false">ROUND(Assumptions!$B$39/4,0)</f>
        <v>7500</v>
      </c>
      <c r="N17" s="47" t="n">
        <f aca="false">SUM(B17:M17)</f>
        <v>30000</v>
      </c>
      <c r="O17" s="11" t="s">
        <v>224</v>
      </c>
    </row>
    <row r="18" customFormat="false" ht="22.35" hidden="false" customHeight="false" outlineLevel="0" collapsed="false">
      <c r="A18" s="12" t="s">
        <v>225</v>
      </c>
      <c r="B18" s="29" t="n">
        <f aca="false">ROUND(Assumptions!$B$40*Assumptions!$B$41/12,0)</f>
        <v>833</v>
      </c>
      <c r="C18" s="29" t="n">
        <f aca="false">ROUND(Assumptions!$B$40*Assumptions!$B$41/12,0)</f>
        <v>833</v>
      </c>
      <c r="D18" s="29" t="n">
        <f aca="false">ROUND(Assumptions!$B$40*Assumptions!$B$41/12,0)</f>
        <v>833</v>
      </c>
      <c r="E18" s="29" t="n">
        <f aca="false">ROUND(Assumptions!$B$40*Assumptions!$B$41/12,0)</f>
        <v>833</v>
      </c>
      <c r="F18" s="29" t="n">
        <f aca="false">ROUND(Assumptions!$B$40*Assumptions!$B$41/12,0)</f>
        <v>833</v>
      </c>
      <c r="G18" s="29" t="n">
        <f aca="false">ROUND(Assumptions!$B$40*Assumptions!$B$41/12,0)</f>
        <v>833</v>
      </c>
      <c r="H18" s="29" t="n">
        <f aca="false">ROUND(Assumptions!$B$40*Assumptions!$B$41/12,0)</f>
        <v>833</v>
      </c>
      <c r="I18" s="29" t="n">
        <f aca="false">ROUND(Assumptions!$B$40*Assumptions!$B$41/12,0)</f>
        <v>833</v>
      </c>
      <c r="J18" s="29" t="n">
        <f aca="false">ROUND(Assumptions!$B$40*Assumptions!$B$41/12,0)</f>
        <v>833</v>
      </c>
      <c r="K18" s="29" t="n">
        <f aca="false">ROUND(Assumptions!$B$40*Assumptions!$B$41/12,0)</f>
        <v>833</v>
      </c>
      <c r="L18" s="29" t="n">
        <f aca="false">ROUND(Assumptions!$B$40*Assumptions!$B$41/12,0)</f>
        <v>833</v>
      </c>
      <c r="M18" s="29" t="n">
        <f aca="false">ROUND(Assumptions!$B$40*Assumptions!$B$41/12,0)</f>
        <v>833</v>
      </c>
      <c r="N18" s="48" t="n">
        <f aca="false">SUM(B18:M18)</f>
        <v>9996</v>
      </c>
      <c r="O18" s="15" t="s">
        <v>226</v>
      </c>
    </row>
    <row r="19" customFormat="false" ht="15" hidden="false" customHeight="false" outlineLevel="0" collapsed="false">
      <c r="A19" s="5" t="s">
        <v>212</v>
      </c>
      <c r="B19" s="49" t="n">
        <f aca="false">B17+B18</f>
        <v>833</v>
      </c>
      <c r="C19" s="49" t="n">
        <f aca="false">C17+C18</f>
        <v>833</v>
      </c>
      <c r="D19" s="49" t="n">
        <f aca="false">D17+D18</f>
        <v>8333</v>
      </c>
      <c r="E19" s="49" t="n">
        <f aca="false">E17+E18</f>
        <v>833</v>
      </c>
      <c r="F19" s="49" t="n">
        <f aca="false">F17+F18</f>
        <v>833</v>
      </c>
      <c r="G19" s="49" t="n">
        <f aca="false">G17+G18</f>
        <v>8333</v>
      </c>
      <c r="H19" s="49" t="n">
        <f aca="false">H17+H18</f>
        <v>833</v>
      </c>
      <c r="I19" s="49" t="n">
        <f aca="false">I17+I18</f>
        <v>833</v>
      </c>
      <c r="J19" s="49" t="n">
        <f aca="false">J17+J18</f>
        <v>8333</v>
      </c>
      <c r="K19" s="49" t="n">
        <f aca="false">K17+K18</f>
        <v>833</v>
      </c>
      <c r="L19" s="49" t="n">
        <f aca="false">L17+L18</f>
        <v>833</v>
      </c>
      <c r="M19" s="49" t="n">
        <f aca="false">M17+M18</f>
        <v>8333</v>
      </c>
      <c r="N19" s="49" t="n">
        <f aca="false">N17+N18</f>
        <v>39996</v>
      </c>
      <c r="O19" s="50"/>
    </row>
    <row r="20" customFormat="false" ht="15" hidden="false" customHeight="false" outlineLevel="0" collapsed="false">
      <c r="A20" s="51" t="s">
        <v>227</v>
      </c>
      <c r="B20" s="52" t="n">
        <f aca="false">B5+B6+B9+B10+B13+B14+B17+B18</f>
        <v>66833</v>
      </c>
      <c r="C20" s="52" t="n">
        <f aca="false">C5+C6+C9+C10+C13+C14+C17+C18</f>
        <v>66833</v>
      </c>
      <c r="D20" s="52" t="n">
        <f aca="false">D5+D6+D9+D10+D13+D14+D17+D18</f>
        <v>84333</v>
      </c>
      <c r="E20" s="52" t="n">
        <f aca="false">E5+E6+E9+E10+E13+E14+E17+E18</f>
        <v>76833</v>
      </c>
      <c r="F20" s="52" t="n">
        <f aca="false">F5+F6+F9+F10+F13+F14+F17+F18</f>
        <v>76833</v>
      </c>
      <c r="G20" s="52" t="n">
        <f aca="false">G5+G6+G9+G10+G13+G14+G17+G18</f>
        <v>84333</v>
      </c>
      <c r="H20" s="52" t="n">
        <f aca="false">H5+H6+H9+H10+H13+H14+H17+H18</f>
        <v>68508</v>
      </c>
      <c r="I20" s="52" t="n">
        <f aca="false">I5+I6+I9+I10+I13+I14+I17+I18</f>
        <v>68508</v>
      </c>
      <c r="J20" s="52" t="n">
        <f aca="false">J5+J6+J9+J10+J13+J14+J17+J18</f>
        <v>76008</v>
      </c>
      <c r="K20" s="52" t="n">
        <f aca="false">K5+K6+K9+K10+K13+K14+K17+K18</f>
        <v>68508</v>
      </c>
      <c r="L20" s="52" t="n">
        <f aca="false">L5+L6+L9+L10+L13+L14+L17+L18</f>
        <v>68508</v>
      </c>
      <c r="M20" s="52" t="n">
        <f aca="false">M5+M6+M9+M10+M13+M14+M17+M18</f>
        <v>76008</v>
      </c>
      <c r="N20" s="52" t="n">
        <f aca="false">N5+N6+N9+N10+N13+N14+N17+N18</f>
        <v>882046</v>
      </c>
      <c r="O20" s="53"/>
    </row>
    <row r="21" customFormat="false" ht="3.75" hidden="false" customHeight="true" outlineLevel="0" collapsed="false"/>
    <row r="22" customFormat="false" ht="15" hidden="false" customHeight="false" outlineLevel="0" collapsed="false">
      <c r="A22" s="23" t="s">
        <v>228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customFormat="false" ht="22.35" hidden="false" customHeight="false" outlineLevel="0" collapsed="false">
      <c r="A23" s="9" t="s">
        <v>229</v>
      </c>
      <c r="B23" s="18" t="n">
        <f aca="false">ROUND(Assumptions!$B$11/12,0)</f>
        <v>43000</v>
      </c>
      <c r="C23" s="18" t="n">
        <f aca="false">ROUND(Assumptions!$B$11/12,0)</f>
        <v>43000</v>
      </c>
      <c r="D23" s="18" t="n">
        <f aca="false">ROUND(Assumptions!$B$11/12,0)</f>
        <v>43000</v>
      </c>
      <c r="E23" s="18" t="n">
        <f aca="false">ROUND(Assumptions!$B$11/12,0)</f>
        <v>43000</v>
      </c>
      <c r="F23" s="18" t="n">
        <f aca="false">ROUND(Assumptions!$B$11/12,0)</f>
        <v>43000</v>
      </c>
      <c r="G23" s="18" t="n">
        <f aca="false">ROUND(Assumptions!$B$11/12,0)</f>
        <v>43000</v>
      </c>
      <c r="H23" s="18" t="n">
        <f aca="false">ROUND(Assumptions!$B$11/12,0)</f>
        <v>43000</v>
      </c>
      <c r="I23" s="18" t="n">
        <f aca="false">ROUND(Assumptions!$B$11/12,0)</f>
        <v>43000</v>
      </c>
      <c r="J23" s="18" t="n">
        <f aca="false">ROUND(Assumptions!$B$11/12,0)</f>
        <v>43000</v>
      </c>
      <c r="K23" s="18" t="n">
        <f aca="false">ROUND(Assumptions!$B$11/12,0)</f>
        <v>43000</v>
      </c>
      <c r="L23" s="18" t="n">
        <f aca="false">ROUND(Assumptions!$B$11/12,0)</f>
        <v>43000</v>
      </c>
      <c r="M23" s="18" t="n">
        <f aca="false">ROUND(Assumptions!$B$11/12,0)</f>
        <v>43000</v>
      </c>
      <c r="N23" s="47" t="n">
        <f aca="false">SUM(B23:M23)</f>
        <v>516000</v>
      </c>
      <c r="O23" s="11" t="s">
        <v>230</v>
      </c>
    </row>
    <row r="24" customFormat="false" ht="15" hidden="false" customHeight="false" outlineLevel="0" collapsed="false">
      <c r="A24" s="12" t="s">
        <v>231</v>
      </c>
      <c r="B24" s="29" t="n">
        <f aca="false">ROUND(Assumptions!$B$12/12,0)</f>
        <v>417</v>
      </c>
      <c r="C24" s="29" t="n">
        <f aca="false">ROUND(Assumptions!$B$12/12,0)</f>
        <v>417</v>
      </c>
      <c r="D24" s="29" t="n">
        <f aca="false">ROUND(Assumptions!$B$12/12,0)</f>
        <v>417</v>
      </c>
      <c r="E24" s="29" t="n">
        <f aca="false">ROUND(Assumptions!$B$12/12,0)</f>
        <v>417</v>
      </c>
      <c r="F24" s="29" t="n">
        <f aca="false">ROUND(Assumptions!$B$12/12,0)</f>
        <v>417</v>
      </c>
      <c r="G24" s="29" t="n">
        <f aca="false">ROUND(Assumptions!$B$12/12,0)</f>
        <v>417</v>
      </c>
      <c r="H24" s="29" t="n">
        <f aca="false">ROUND(Assumptions!$B$12/12,0)</f>
        <v>417</v>
      </c>
      <c r="I24" s="29" t="n">
        <f aca="false">ROUND(Assumptions!$B$12/12,0)</f>
        <v>417</v>
      </c>
      <c r="J24" s="29" t="n">
        <f aca="false">ROUND(Assumptions!$B$12/12,0)</f>
        <v>417</v>
      </c>
      <c r="K24" s="29" t="n">
        <f aca="false">ROUND(Assumptions!$B$12/12,0)</f>
        <v>417</v>
      </c>
      <c r="L24" s="29" t="n">
        <f aca="false">ROUND(Assumptions!$B$12/12,0)</f>
        <v>417</v>
      </c>
      <c r="M24" s="29" t="n">
        <f aca="false">ROUND(Assumptions!$B$12/12,0)</f>
        <v>417</v>
      </c>
      <c r="N24" s="48" t="n">
        <f aca="false">SUM(B24:M24)</f>
        <v>5004</v>
      </c>
      <c r="O24" s="15" t="s">
        <v>232</v>
      </c>
    </row>
    <row r="25" customFormat="false" ht="15" hidden="false" customHeight="false" outlineLevel="0" collapsed="false">
      <c r="A25" s="23" t="s">
        <v>233</v>
      </c>
      <c r="B25" s="54" t="n">
        <f aca="false">B23+B24</f>
        <v>43417</v>
      </c>
      <c r="C25" s="54" t="n">
        <f aca="false">C23+C24</f>
        <v>43417</v>
      </c>
      <c r="D25" s="54" t="n">
        <f aca="false">D23+D24</f>
        <v>43417</v>
      </c>
      <c r="E25" s="54" t="n">
        <f aca="false">E23+E24</f>
        <v>43417</v>
      </c>
      <c r="F25" s="54" t="n">
        <f aca="false">F23+F24</f>
        <v>43417</v>
      </c>
      <c r="G25" s="54" t="n">
        <f aca="false">G23+G24</f>
        <v>43417</v>
      </c>
      <c r="H25" s="54" t="n">
        <f aca="false">H23+H24</f>
        <v>43417</v>
      </c>
      <c r="I25" s="54" t="n">
        <f aca="false">I23+I24</f>
        <v>43417</v>
      </c>
      <c r="J25" s="54" t="n">
        <f aca="false">J23+J24</f>
        <v>43417</v>
      </c>
      <c r="K25" s="54" t="n">
        <f aca="false">K23+K24</f>
        <v>43417</v>
      </c>
      <c r="L25" s="54" t="n">
        <f aca="false">L23+L24</f>
        <v>43417</v>
      </c>
      <c r="M25" s="54" t="n">
        <f aca="false">M23+M24</f>
        <v>43417</v>
      </c>
      <c r="N25" s="54" t="n">
        <f aca="false">N23+N24</f>
        <v>521004</v>
      </c>
      <c r="O25" s="55"/>
    </row>
    <row r="26" customFormat="false" ht="15" hidden="false" customHeight="false" outlineLevel="0" collapsed="false">
      <c r="A26" s="56" t="s">
        <v>234</v>
      </c>
      <c r="B26" s="52" t="n">
        <f aca="false">B25-B20</f>
        <v>-23416</v>
      </c>
      <c r="C26" s="52" t="n">
        <f aca="false">C25-C20</f>
        <v>-23416</v>
      </c>
      <c r="D26" s="52" t="n">
        <f aca="false">D25-D20</f>
        <v>-40916</v>
      </c>
      <c r="E26" s="52" t="n">
        <f aca="false">E25-E20</f>
        <v>-33416</v>
      </c>
      <c r="F26" s="52" t="n">
        <f aca="false">F25-F20</f>
        <v>-33416</v>
      </c>
      <c r="G26" s="52" t="n">
        <f aca="false">G25-G20</f>
        <v>-40916</v>
      </c>
      <c r="H26" s="52" t="n">
        <f aca="false">H25-H20</f>
        <v>-25091</v>
      </c>
      <c r="I26" s="52" t="n">
        <f aca="false">I25-I20</f>
        <v>-25091</v>
      </c>
      <c r="J26" s="52" t="n">
        <f aca="false">J25-J20</f>
        <v>-32591</v>
      </c>
      <c r="K26" s="52" t="n">
        <f aca="false">K25-K20</f>
        <v>-25091</v>
      </c>
      <c r="L26" s="52" t="n">
        <f aca="false">L25-L20</f>
        <v>-25091</v>
      </c>
      <c r="M26" s="52" t="n">
        <f aca="false">M25-M20</f>
        <v>-32591</v>
      </c>
      <c r="N26" s="52" t="n">
        <f aca="false">N25-N20</f>
        <v>-361042</v>
      </c>
      <c r="O26" s="57"/>
    </row>
    <row r="27" customFormat="false" ht="3.75" hidden="false" customHeight="true" outlineLevel="0" collapsed="false"/>
    <row r="28" customFormat="false" ht="15" hidden="false" customHeight="false" outlineLevel="0" collapsed="false">
      <c r="A28" s="58" t="s">
        <v>235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customFormat="false" ht="22.35" hidden="false" customHeight="false" outlineLevel="0" collapsed="false">
      <c r="A29" s="59" t="s">
        <v>236</v>
      </c>
      <c r="B29" s="60" t="n">
        <f aca="false">ROUND(('CAPEX &amp; Funding'!B29)/12,0)</f>
        <v>31917</v>
      </c>
      <c r="C29" s="60" t="n">
        <f aca="false">ROUND(('CAPEX &amp; Funding'!B29)/12,0)</f>
        <v>31917</v>
      </c>
      <c r="D29" s="60" t="n">
        <f aca="false">ROUND(('CAPEX &amp; Funding'!B29)/12,0)</f>
        <v>31917</v>
      </c>
      <c r="E29" s="60" t="n">
        <f aca="false">ROUND(('CAPEX &amp; Funding'!B29)/12,0)</f>
        <v>31917</v>
      </c>
      <c r="F29" s="60" t="n">
        <f aca="false">ROUND(('CAPEX &amp; Funding'!B29)/12,0)</f>
        <v>31917</v>
      </c>
      <c r="G29" s="60" t="n">
        <f aca="false">ROUND(('CAPEX &amp; Funding'!B29)/12,0)</f>
        <v>31917</v>
      </c>
      <c r="H29" s="60" t="n">
        <f aca="false">ROUND(('CAPEX &amp; Funding'!B29)/12,0)</f>
        <v>31917</v>
      </c>
      <c r="I29" s="60" t="n">
        <f aca="false">ROUND(('CAPEX &amp; Funding'!B29)/12,0)</f>
        <v>31917</v>
      </c>
      <c r="J29" s="60" t="n">
        <f aca="false">ROUND(('CAPEX &amp; Funding'!B29)/12,0)</f>
        <v>31917</v>
      </c>
      <c r="K29" s="60" t="n">
        <f aca="false">ROUND(('CAPEX &amp; Funding'!B29)/12,0)</f>
        <v>31917</v>
      </c>
      <c r="L29" s="60" t="n">
        <f aca="false">ROUND(('CAPEX &amp; Funding'!B29)/12,0)</f>
        <v>31917</v>
      </c>
      <c r="M29" s="60" t="n">
        <f aca="false">ROUND(('CAPEX &amp; Funding'!B29)/12,0)</f>
        <v>31917</v>
      </c>
      <c r="N29" s="61" t="n">
        <f aca="false">SUM(B29:M29)</f>
        <v>383004</v>
      </c>
      <c r="O29" s="62" t="s">
        <v>237</v>
      </c>
    </row>
    <row r="30" customFormat="false" ht="15" hidden="false" customHeight="false" outlineLevel="0" collapsed="false">
      <c r="A30" s="63" t="s">
        <v>49</v>
      </c>
      <c r="B30" s="64" t="n">
        <f aca="false">B26-B29</f>
        <v>-55333</v>
      </c>
      <c r="C30" s="64" t="n">
        <f aca="false">C26-C29</f>
        <v>-55333</v>
      </c>
      <c r="D30" s="64" t="n">
        <f aca="false">D26-D29</f>
        <v>-72833</v>
      </c>
      <c r="E30" s="64" t="n">
        <f aca="false">E26-E29</f>
        <v>-65333</v>
      </c>
      <c r="F30" s="64" t="n">
        <f aca="false">F26-F29</f>
        <v>-65333</v>
      </c>
      <c r="G30" s="64" t="n">
        <f aca="false">G26-G29</f>
        <v>-72833</v>
      </c>
      <c r="H30" s="64" t="n">
        <f aca="false">H26-H29</f>
        <v>-57008</v>
      </c>
      <c r="I30" s="64" t="n">
        <f aca="false">I26-I29</f>
        <v>-57008</v>
      </c>
      <c r="J30" s="64" t="n">
        <f aca="false">J26-J29</f>
        <v>-64508</v>
      </c>
      <c r="K30" s="64" t="n">
        <f aca="false">K26-K29</f>
        <v>-57008</v>
      </c>
      <c r="L30" s="64" t="n">
        <f aca="false">L26-L29</f>
        <v>-57008</v>
      </c>
      <c r="M30" s="64" t="n">
        <f aca="false">M26-M29</f>
        <v>-64508</v>
      </c>
      <c r="N30" s="64" t="n">
        <f aca="false">N26-N29</f>
        <v>-744046</v>
      </c>
      <c r="O30" s="65"/>
    </row>
  </sheetData>
  <mergeCells count="8">
    <mergeCell ref="A1:O1"/>
    <mergeCell ref="A2:O2"/>
    <mergeCell ref="A4:O4"/>
    <mergeCell ref="A8:O8"/>
    <mergeCell ref="A12:O12"/>
    <mergeCell ref="A16:O16"/>
    <mergeCell ref="A22:O22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2026-06-16T13:32:53Z</dcterms:created>
  <dc:creator>openpyxl</dc:creator>
  <dc:description/>
  <dc:language>en-US</dc:language>
  <cp:lastModifiedBy/>
  <dcterms:modified xsi:type="dcterms:W3CDTF">2026-06-16T13:32:54Z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