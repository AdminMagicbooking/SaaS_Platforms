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Breakeve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<sst xmlns="http://schemas.openxmlformats.org/spreadsheetml/2006/main" count="173" uniqueCount="162">
  <si>
    <t xml:space="preserve">ECOGRID RESORT™ — MODEL 1  |  Breakeven Summary</t>
  </si>
  <si>
    <t xml:space="preserve">Model 1: Client pays 100% of CAPEX — SmartGrid earns EPC margin (one-time) + SaaS + Maintenance (recurring)</t>
  </si>
  <si>
    <t xml:space="preserve">Pilot site: Marine de Caprone, Corsica  ·  Unaudited estimates — June 2026  ·  Edit 'New sites SIGNED' row in Breakeven sheet to model scenarios</t>
  </si>
  <si>
    <t xml:space="preserve">KPI</t>
  </si>
  <si>
    <t xml:space="preserve">Value</t>
  </si>
  <si>
    <t xml:space="preserve">Reference</t>
  </si>
  <si>
    <t xml:space="preserve">Comment</t>
  </si>
  <si>
    <t xml:space="preserve">PER-SITE ECONOMICS</t>
  </si>
  <si>
    <t xml:space="preserve">EPC margin per site (€ — one-time)</t>
  </si>
  <si>
    <t xml:space="preserve">Assumptions B8</t>
  </si>
  <si>
    <t xml:space="preserve">15% × 5.7M€ CAPEX — one lump-sum paid at project completion</t>
  </si>
  <si>
    <t xml:space="preserve">SaaS + Maintenance recurring (€/site/yr)</t>
  </si>
  <si>
    <t xml:space="preserve">Assumptions B11</t>
  </si>
  <si>
    <t xml:space="preserve">5k€ SaaS + 10k€ maintenance = 15k€/yr per site</t>
  </si>
  <si>
    <t xml:space="preserve">Client simple payback (yrs)</t>
  </si>
  <si>
    <t xml:space="preserve">Assumptions B13</t>
  </si>
  <si>
    <t xml:space="preserve">Client CAPEX / (savings – recurring fees) — improves client ROI story</t>
  </si>
  <si>
    <t xml:space="preserve">YEAR 1 COMPANY COSTS</t>
  </si>
  <si>
    <t xml:space="preserve">Total OPEX — Year 1 (€)</t>
  </si>
  <si>
    <t xml:space="preserve">Breakeven Z20 ÷ 2</t>
  </si>
  <si>
    <t xml:space="preserve">Half of 24-month total — no maintenance cost borne by SmartGrid in Model 1</t>
  </si>
  <si>
    <t xml:space="preserve">BREAKEVEN ANALYSIS</t>
  </si>
  <si>
    <t xml:space="preserve">Breakeven month (from model in Breakeven sheet)</t>
  </si>
  <si>
    <t xml:space="preserve">Breakeven B24</t>
  </si>
  <si>
    <t xml:space="preserve">Based on current ramp scenario — edit 'New sites SIGNED' row to change</t>
  </si>
  <si>
    <t xml:space="preserve">Total revenue over 24 months</t>
  </si>
  <si>
    <t xml:space="preserve">Breakeven Z11</t>
  </si>
  <si>
    <t xml:space="preserve">EPC margins + SaaS + maintenance from signed sites</t>
  </si>
  <si>
    <t xml:space="preserve">Total OPEX over 24 months</t>
  </si>
  <si>
    <t xml:space="preserve">Breakeven Z20</t>
  </si>
  <si>
    <t xml:space="preserve">Cumulative position at Month 24</t>
  </si>
  <si>
    <t xml:space="preserve">Breakeven Z22</t>
  </si>
  <si>
    <t xml:space="preserve">Positive = profitable over 2 years; negative = still burning cash</t>
  </si>
  <si>
    <t xml:space="preserve">SITES REQUIRED TO BREAK EVEN</t>
  </si>
  <si>
    <t xml:space="preserve">Sites needed (EPC margin alone covers Yr1 OPEX)</t>
  </si>
  <si>
    <t xml:space="preserve">Breakeven B29</t>
  </si>
  <si>
    <t xml:space="preserve">CEILING(Yr1 OPEX / EPC margin per site, 1)</t>
  </si>
  <si>
    <t xml:space="preserve">EPC margin from 1 site vs. annual OPEX</t>
  </si>
  <si>
    <t xml:space="preserve">Assumptions B8 / (Breakeven Z20÷2)</t>
  </si>
  <si>
    <t xml:space="preserve">% of Yr1 OPEX covered by ONE site's EPC margin</t>
  </si>
  <si>
    <t xml:space="preserve">WARNING:  All figures are unaudited working estimates — June 2026. EPC margin % and site CAPEX to validate with engineering study and supplier quotes. Breakeven timing depends entirely on the sales ramp — edit the 'New sites SIGNED' row in the Breakeven sheet to model optimistic / conservative scenarios.</t>
  </si>
  <si>
    <t xml:space="preserve">HOW TO USE THIS MODEL</t>
  </si>
  <si>
    <t xml:space="preserve">1.  Go to the Breakeven sheet</t>
  </si>
  <si>
    <t xml:space="preserve">2.  Edit Row 5 'New sites SIGNED this month' — enter the number of deals you expect to close each month</t>
  </si>
  <si>
    <t xml:space="preserve">3.  Row 22 'Cumulative cash position' updates automatically — watch for when it turns positive</t>
  </si>
  <si>
    <t xml:space="preserve">4.  Row 23 marks the exact breakeven month with a checkmark</t>
  </si>
  <si>
    <t xml:space="preserve">5.  Adjust EPC margin %, CAPEX, SaaS price etc. in the Assumptions sheet — everything recalculates</t>
  </si>
  <si>
    <t xml:space="preserve">ECOGRID RESORT™ — Model 1  |  Assumptions &amp; Inputs</t>
  </si>
  <si>
    <t xml:space="preserve">Blue = hardcoded inputs  ·  Black = formulas  ·  All unaudited — June 2026</t>
  </si>
  <si>
    <t xml:space="preserve">Parameter</t>
  </si>
  <si>
    <t xml:space="preserve">Source / Note</t>
  </si>
  <si>
    <t xml:space="preserve">A.  PER-SITE REVENUE — Model 1 (client pays CAPEX; SmartGrid earns margin + recurring)</t>
  </si>
  <si>
    <t xml:space="preserve">CAPEX per site — base (€)</t>
  </si>
  <si>
    <t xml:space="preserve">brain.md §6 central scenario — 2 MWc PV, 6 MWh LFP, 30-50 EV chargers</t>
  </si>
  <si>
    <t xml:space="preserve">Site scale factor (× base)</t>
  </si>
  <si>
    <t xml:space="preserve">1.0 = full Corsica pilot; adjust for smaller sites</t>
  </si>
  <si>
    <t xml:space="preserve">EPC margin % (SmartGrid)</t>
  </si>
  <si>
    <t xml:space="preserve">Source: brain.md §6 — suggested, to validate with supplier quotes</t>
  </si>
  <si>
    <t xml:space="preserve">CAPEX × scale × margin %</t>
  </si>
  <si>
    <t xml:space="preserve">SaaS subscription (€/site/yr)</t>
  </si>
  <si>
    <t xml:space="preserve">Source: Franck 10/06/2026</t>
  </si>
  <si>
    <t xml:space="preserve">Maintenance contract revenue (€/site/yr)</t>
  </si>
  <si>
    <t xml:space="preserve">Source: Franck — base tier, size-dependent models in progress</t>
  </si>
  <si>
    <t xml:space="preserve">Total recurring revenue per site (€/yr)</t>
  </si>
  <si>
    <t xml:space="preserve">SaaS + maintenance</t>
  </si>
  <si>
    <t xml:space="preserve">Client annual energy savings (€/yr — for reference)</t>
  </si>
  <si>
    <t xml:space="preserve">brain.md §6 — client keeps 100% of savings in Model 1</t>
  </si>
  <si>
    <t xml:space="preserve">Client simple payback (yrs — indicative)</t>
  </si>
  <si>
    <t xml:space="preserve">Client CAPEX / (savings – SaaS – maintenance) — indicative</t>
  </si>
  <si>
    <t xml:space="preserve">B.  SALES RAMP — New Sites Signed per Month (Model 1)</t>
  </si>
  <si>
    <t xml:space="preserve">Adjust the 'Sites signed' row in the Breakeven sheet directly — or set a monthly default here:</t>
  </si>
  <si>
    <t xml:space="preserve">Default new sites signed per month</t>
  </si>
  <si>
    <t xml:space="preserve">Override directly in 'Breakeven' sheet row 5 for each month</t>
  </si>
  <si>
    <t xml:space="preserve">Months from signing to EPC payment (lag)</t>
  </si>
  <si>
    <t xml:space="preserve">Indicative — EPC margin paid at project completion</t>
  </si>
  <si>
    <t xml:space="preserve">C.  COMPANY OPERATING COSTS — Year 1 Inputs (same as Model 2)</t>
  </si>
  <si>
    <t xml:space="preserve">Shareholders paid (count)</t>
  </si>
  <si>
    <t xml:space="preserve">Franck, Mark, Boris, Pierre, Michael</t>
  </si>
  <si>
    <t xml:space="preserve">SH monthly compensation (€/person/mo)</t>
  </si>
  <si>
    <t xml:space="preserve">Staff headcount</t>
  </si>
  <si>
    <t xml:space="preserve">Joseph + secretary + EU grant specialist</t>
  </si>
  <si>
    <t xml:space="preserve">Staff monthly salary (€/person/mo)</t>
  </si>
  <si>
    <t xml:space="preserve">Office rent &amp; utilities (€/mo)</t>
  </si>
  <si>
    <t xml:space="preserve">Software dev + Azure Yr1 (€)</t>
  </si>
  <si>
    <t xml:space="preserve">Marketing (€/mo)</t>
  </si>
  <si>
    <t xml:space="preserve">Marketing active months Yr1</t>
  </si>
  <si>
    <t xml:space="preserve">Starts month 3</t>
  </si>
  <si>
    <t xml:space="preserve">Travel &amp; site visits (€/mo)</t>
  </si>
  <si>
    <t xml:space="preserve">Insurance, legal, accounting, IP (€/yr)</t>
  </si>
  <si>
    <t xml:space="preserve">Incl. trademark filing, décennale</t>
  </si>
  <si>
    <t xml:space="preserve">Inflation (%/yr — Yr2+ only)</t>
  </si>
  <si>
    <t xml:space="preserve">Applied from Yr2 onward</t>
  </si>
  <si>
    <t xml:space="preserve">ECOGRID RESORT™ — Model 1  |  24-Month Breakeven Analysis</t>
  </si>
  <si>
    <t xml:space="preserve">Model 1: Client pays 100% of CAPEX upfront — SmartGrid earns EPC margin (one-time) + SaaS + Maintenance (recurring)  ·  Unaudited — June 2026</t>
  </si>
  <si>
    <t xml:space="preserve">Jan
Yr1</t>
  </si>
  <si>
    <t xml:space="preserve">Feb
Yr1</t>
  </si>
  <si>
    <t xml:space="preserve">Mar
Yr1</t>
  </si>
  <si>
    <t xml:space="preserve">Apr
Yr1</t>
  </si>
  <si>
    <t xml:space="preserve">May
Yr1</t>
  </si>
  <si>
    <t xml:space="preserve">Jun
Yr1</t>
  </si>
  <si>
    <t xml:space="preserve">Jul
Yr1</t>
  </si>
  <si>
    <t xml:space="preserve">Aug
Yr1</t>
  </si>
  <si>
    <t xml:space="preserve">Sep
Yr1</t>
  </si>
  <si>
    <t xml:space="preserve">Oct
Yr1</t>
  </si>
  <si>
    <t xml:space="preserve">Nov
Yr1</t>
  </si>
  <si>
    <t xml:space="preserve">Dec
Yr1</t>
  </si>
  <si>
    <t xml:space="preserve">Jan
Yr2</t>
  </si>
  <si>
    <t xml:space="preserve">Feb
Yr2</t>
  </si>
  <si>
    <t xml:space="preserve">Mar
Yr2</t>
  </si>
  <si>
    <t xml:space="preserve">Apr
Yr2</t>
  </si>
  <si>
    <t xml:space="preserve">May
Yr2</t>
  </si>
  <si>
    <t xml:space="preserve">Jun
Yr2</t>
  </si>
  <si>
    <t xml:space="preserve">Jul
Yr2</t>
  </si>
  <si>
    <t xml:space="preserve">Aug
Yr2</t>
  </si>
  <si>
    <t xml:space="preserve">Sep
Yr2</t>
  </si>
  <si>
    <t xml:space="preserve">Oct
Yr2</t>
  </si>
  <si>
    <t xml:space="preserve">Nov
Yr2</t>
  </si>
  <si>
    <t xml:space="preserve">Dec
Yr2</t>
  </si>
  <si>
    <t xml:space="preserve">TOTAL 24M</t>
  </si>
  <si>
    <t xml:space="preserve">Notes</t>
  </si>
  <si>
    <t xml:space="preserve">SITE SALES — adjust 'Sites signed' per month to model different scenarios</t>
  </si>
  <si>
    <t xml:space="preserve">New sites SIGNED this month</t>
  </si>
  <si>
    <t xml:space="preserve">EDIT THESE — each number = new site deal signed that month</t>
  </si>
  <si>
    <t xml:space="preserve">Cumulative sites (end of month)</t>
  </si>
  <si>
    <t xml:space="preserve">Running total of signed sites (SaaS + maintenance start month after signing)</t>
  </si>
  <si>
    <t xml:space="preserve">REVENUE — MODEL 1</t>
  </si>
  <si>
    <t xml:space="preserve">EPC margin — one-time (€/site signed, with install lag)</t>
  </si>
  <si>
    <t xml:space="preserve">EPC margin per site × sites signed 2 months earlier (installation lag) — 15% × 5.7M€ = 855k€/site</t>
  </si>
  <si>
    <t xml:space="preserve">SaaS subscription revenue (€/mo from live sites)</t>
  </si>
  <si>
    <t xml:space="preserve">SaaS 5k€/site/yr ÷ 12 × cumulative sites from prior month</t>
  </si>
  <si>
    <t xml:space="preserve">Maintenance contract revenue (€/mo from live sites)</t>
  </si>
  <si>
    <t xml:space="preserve">Maintenance 10k€/site/yr ÷ 12 × cumulative sites from prior month</t>
  </si>
  <si>
    <t xml:space="preserve">TOTAL REVENUE</t>
  </si>
  <si>
    <t xml:space="preserve">EPC margin + SaaS + Maintenance</t>
  </si>
  <si>
    <t xml:space="preserve">COMPANY OPEX  (same structure as Model 2)</t>
  </si>
  <si>
    <t xml:space="preserve">Shareholders (5 × 5,000 €/mo)</t>
  </si>
  <si>
    <t xml:space="preserve">Staff salaries (3 FTE × 3,000 €/mo)</t>
  </si>
  <si>
    <t xml:space="preserve">Office rent &amp; utilities (2,000 €/mo)</t>
  </si>
  <si>
    <t xml:space="preserve">Source: Franck</t>
  </si>
  <si>
    <t xml:space="preserve">Software dev + Azure / cloud hosting</t>
  </si>
  <si>
    <t xml:space="preserve">Yr1 250k€ (60% H1/40% H2); Yr2 ~125k€ — Source: Franck</t>
  </si>
  <si>
    <t xml:space="preserve">Marketing &amp; communications</t>
  </si>
  <si>
    <t xml:space="preserve">10k€/mo from month 3 — Source: Franck</t>
  </si>
  <si>
    <t xml:space="preserve">Travel &amp; site visits (5,000 €/mo)</t>
  </si>
  <si>
    <t xml:space="preserve">Insurance, legal, IP, accounting (30k€/yr — quarterly)</t>
  </si>
  <si>
    <t xml:space="preserve">Paid quarterly — incl. trademark, décennale</t>
  </si>
  <si>
    <t xml:space="preserve">TOTAL OPEX</t>
  </si>
  <si>
    <t xml:space="preserve">Note: Model 1 has NO maintenance cost (client pays separately)</t>
  </si>
  <si>
    <t xml:space="preserve">NET RESULT (Revenue – OPEX)</t>
  </si>
  <si>
    <t xml:space="preserve">CUMULATIVE CASH POSITION  ←  watch for breakeven</t>
  </si>
  <si>
    <t xml:space="preserve">Cumulative net result — negative = cash burn, positive = breakeven passed. Yellow cells turn read/green with conditional formatting (add in Excel if desired).</t>
  </si>
  <si>
    <t xml:space="preserve">BREAKEVEN reached? (first month cumulative &gt; 0)</t>
  </si>
  <si>
    <t xml:space="preserve">First month where cumulative cash position turns positive</t>
  </si>
  <si>
    <t xml:space="preserve">Breakeven month number (from start)</t>
  </si>
  <si>
    <t xml:space="preserve">Month index counting from Month 1. Edit the 'New sites SIGNED' row above to see how different ramp speeds affect breakeven.</t>
  </si>
  <si>
    <t xml:space="preserve">KEY INSIGHT — Per-Site Revenue</t>
  </si>
  <si>
    <t xml:space="preserve">EPC margin per site (€)</t>
  </si>
  <si>
    <t xml:space="preserve">One site = one 855k€ lump sum — nearly covers all of Year 1 OPEX</t>
  </si>
  <si>
    <t xml:space="preserve">Year 1 OPEX estimate (€)</t>
  </si>
  <si>
    <t xml:space="preserve">Approx (24-month total / 2) — see Summary for exact figure</t>
  </si>
  <si>
    <t xml:space="preserve">Sites needed to cover Yr1 OPEX with EPC margin alone</t>
  </si>
  <si>
    <t xml:space="preserve">Minimum deal count for EPC margin to fully offset Year 1 OPEX (excl. lag)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</si>
</sst>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&quot; €&quot;;\(#,##0&quot; €)&quot;;\-"/>
    <numFmt numFmtId="166" formatCode="0.0&quot; yrs&quot;"/>
    <numFmt numFmtId="167" formatCode="0.00\×"/>
    <numFmt numFmtId="168" formatCode="0.0%;\(0.0%\);\-"/>
    <numFmt numFmtId="169" formatCode="0"/>
    <numFmt numFmtId="170" formatCode="0&quot; mo&quot;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FF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B05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B05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5FB"/>
        <bgColor rgb="FFFFFFFF"/>
      </patternFill>
    </fill>
    <fill>
      <patternFill patternType="solid">
        <fgColor rgb="FFD6E4F0"/>
        <bgColor rgb="FFEBF5FB"/>
      </patternFill>
    </fill>
    <fill>
      <patternFill patternType="solid">
        <fgColor rgb="FFFFF2CC"/>
        <bgColor rgb="FFEBF5FB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D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44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/>
      <c r="C3" s="4"/>
      <c r="D3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</row>
    <row r="6" customFormat="false" ht="15" hidden="false" customHeight="true" outlineLevel="0" collapsed="false">
      <c r="A6" s="6" t="s">
        <v>7</v>
      </c>
      <c r="B6" s="7"/>
      <c r="C6" s="7"/>
      <c r="D6" s="7"/>
    </row>
    <row r="7" customFormat="false" ht="21.75" hidden="false" customHeight="true" outlineLevel="0" collapsed="false">
      <c r="A7" s="8" t="s">
        <v>8</v>
      </c>
      <c r="B7" s="9" t="n">
        <f aca="false">Assumptions!B8</f>
        <v>855000</v>
      </c>
      <c r="C7" s="4" t="s">
        <v>9</v>
      </c>
      <c r="D7" s="10" t="s">
        <v>10</v>
      </c>
    </row>
    <row r="8" customFormat="false" ht="15" hidden="false" customHeight="true" outlineLevel="0" collapsed="false">
      <c r="A8" s="11" t="s">
        <v>11</v>
      </c>
      <c r="B8" s="12" t="n">
        <f aca="false">Assumptions!B11</f>
        <v>15000</v>
      </c>
      <c r="C8" s="13" t="s">
        <v>12</v>
      </c>
      <c r="D8" s="14" t="s">
        <v>13</v>
      </c>
    </row>
    <row r="9" customFormat="false" ht="21.75" hidden="false" customHeight="true" outlineLevel="0" collapsed="false">
      <c r="A9" s="8" t="s">
        <v>14</v>
      </c>
      <c r="B9" s="15" t="n">
        <f aca="false">Assumptions!B13</f>
        <v>6.74556213017752</v>
      </c>
      <c r="C9" s="4" t="s">
        <v>15</v>
      </c>
      <c r="D9" s="10" t="s">
        <v>16</v>
      </c>
    </row>
    <row r="10" customFormat="false" ht="15" hidden="false" customHeight="true" outlineLevel="0" collapsed="false">
      <c r="A10" s="6"/>
      <c r="B10" s="7"/>
      <c r="C10" s="7"/>
      <c r="D10" s="7"/>
    </row>
    <row r="11" customFormat="false" ht="15" hidden="false" customHeight="true" outlineLevel="0" collapsed="false">
      <c r="A11" s="6" t="s">
        <v>17</v>
      </c>
      <c r="B11" s="7"/>
      <c r="C11" s="7"/>
      <c r="D11" s="7"/>
    </row>
    <row r="12" customFormat="false" ht="21.75" hidden="false" customHeight="true" outlineLevel="0" collapsed="false">
      <c r="A12" s="11" t="s">
        <v>18</v>
      </c>
      <c r="B12" s="12" t="n">
        <f aca="false">Breakeven!Z20/2</f>
        <v>819527</v>
      </c>
      <c r="C12" s="13" t="s">
        <v>19</v>
      </c>
      <c r="D12" s="14" t="s">
        <v>20</v>
      </c>
    </row>
    <row r="13" customFormat="false" ht="15" hidden="false" customHeight="true" outlineLevel="0" collapsed="false">
      <c r="A13" s="6"/>
      <c r="B13" s="7"/>
      <c r="C13" s="7"/>
      <c r="D13" s="7"/>
    </row>
    <row r="14" customFormat="false" ht="15" hidden="false" customHeight="true" outlineLevel="0" collapsed="false">
      <c r="A14" s="6" t="s">
        <v>21</v>
      </c>
      <c r="B14" s="7"/>
      <c r="C14" s="7"/>
      <c r="D14" s="7"/>
    </row>
    <row r="15" customFormat="false" ht="21.75" hidden="false" customHeight="true" outlineLevel="0" collapsed="false">
      <c r="A15" s="8" t="s">
        <v>22</v>
      </c>
      <c r="B15" s="15" t="n">
        <f aca="false">Breakeven!B24</f>
        <v>6</v>
      </c>
      <c r="C15" s="4" t="s">
        <v>23</v>
      </c>
      <c r="D15" s="10" t="s">
        <v>24</v>
      </c>
    </row>
    <row r="16" customFormat="false" ht="15" hidden="false" customHeight="true" outlineLevel="0" collapsed="false">
      <c r="A16" s="11" t="s">
        <v>25</v>
      </c>
      <c r="B16" s="12" t="n">
        <f aca="false">Breakeven!Z11</f>
        <v>7800000</v>
      </c>
      <c r="C16" s="13" t="s">
        <v>26</v>
      </c>
      <c r="D16" s="14" t="s">
        <v>27</v>
      </c>
    </row>
    <row r="17" customFormat="false" ht="15" hidden="false" customHeight="true" outlineLevel="0" collapsed="false">
      <c r="A17" s="8" t="s">
        <v>28</v>
      </c>
      <c r="B17" s="9" t="n">
        <f aca="false">Breakeven!Z20</f>
        <v>1639054</v>
      </c>
      <c r="C17" s="4" t="s">
        <v>29</v>
      </c>
      <c r="D17" s="10"/>
    </row>
    <row r="18" customFormat="false" ht="21.75" hidden="false" customHeight="true" outlineLevel="0" collapsed="false">
      <c r="A18" s="11" t="s">
        <v>30</v>
      </c>
      <c r="B18" s="12" t="n">
        <f aca="false">Breakeven!Z22</f>
        <v>6160946</v>
      </c>
      <c r="C18" s="13" t="s">
        <v>31</v>
      </c>
      <c r="D18" s="14" t="s">
        <v>32</v>
      </c>
    </row>
    <row r="19" customFormat="false" ht="15" hidden="false" customHeight="true" outlineLevel="0" collapsed="false">
      <c r="A19" s="6"/>
      <c r="B19" s="7"/>
      <c r="C19" s="7"/>
      <c r="D19" s="7"/>
    </row>
    <row r="20" customFormat="false" ht="15" hidden="false" customHeight="true" outlineLevel="0" collapsed="false">
      <c r="A20" s="6" t="s">
        <v>33</v>
      </c>
      <c r="B20" s="7"/>
      <c r="C20" s="7"/>
      <c r="D20" s="7"/>
    </row>
    <row r="21" customFormat="false" ht="15" hidden="false" customHeight="true" outlineLevel="0" collapsed="false">
      <c r="A21" s="8" t="s">
        <v>34</v>
      </c>
      <c r="B21" s="9" t="n">
        <f aca="false">Breakeven!B29</f>
        <v>1</v>
      </c>
      <c r="C21" s="4" t="s">
        <v>35</v>
      </c>
      <c r="D21" s="10" t="s">
        <v>36</v>
      </c>
    </row>
    <row r="22" customFormat="false" ht="15" hidden="false" customHeight="true" outlineLevel="0" collapsed="false">
      <c r="A22" s="11" t="s">
        <v>37</v>
      </c>
      <c r="B22" s="12" t="n">
        <f aca="false">Assumptions!B8/Breakeven!Z20*2</f>
        <v>1.04328472399323</v>
      </c>
      <c r="C22" s="13" t="s">
        <v>38</v>
      </c>
      <c r="D22" s="14" t="s">
        <v>39</v>
      </c>
    </row>
    <row r="24" customFormat="false" ht="45" hidden="false" customHeight="true" outlineLevel="0" collapsed="false">
      <c r="A24" s="16" t="s">
        <v>40</v>
      </c>
      <c r="B24" s="16"/>
      <c r="C24" s="16"/>
      <c r="D24" s="16"/>
    </row>
    <row r="26" customFormat="false" ht="15" hidden="false" customHeight="true" outlineLevel="0" collapsed="false">
      <c r="A26" s="17" t="s">
        <v>41</v>
      </c>
      <c r="B26" s="17"/>
      <c r="C26" s="17"/>
      <c r="D26" s="17"/>
    </row>
    <row r="27" customFormat="false" ht="18" hidden="false" customHeight="true" outlineLevel="0" collapsed="false">
      <c r="A27" s="10" t="s">
        <v>42</v>
      </c>
      <c r="B27" s="10"/>
      <c r="C27" s="10"/>
      <c r="D27" s="10"/>
    </row>
    <row r="28" customFormat="false" ht="18" hidden="false" customHeight="true" outlineLevel="0" collapsed="false">
      <c r="A28" s="14" t="s">
        <v>43</v>
      </c>
      <c r="B28" s="14"/>
      <c r="C28" s="14"/>
      <c r="D28" s="14"/>
    </row>
    <row r="29" customFormat="false" ht="18" hidden="false" customHeight="true" outlineLevel="0" collapsed="false">
      <c r="A29" s="10" t="s">
        <v>44</v>
      </c>
      <c r="B29" s="10"/>
      <c r="C29" s="10"/>
      <c r="D29" s="10"/>
    </row>
    <row r="30" customFormat="false" ht="18" hidden="false" customHeight="true" outlineLevel="0" collapsed="false">
      <c r="A30" s="14" t="s">
        <v>45</v>
      </c>
      <c r="B30" s="14"/>
      <c r="C30" s="14"/>
      <c r="D30" s="14"/>
    </row>
    <row r="31" customFormat="false" ht="18" hidden="false" customHeight="true" outlineLevel="0" collapsed="false">
      <c r="A31" s="10" t="s">
        <v>46</v>
      </c>
      <c r="B31" s="10"/>
      <c r="C31" s="10"/>
      <c r="D31" s="10"/>
    </row>
  </sheetData>
  <mergeCells count="10">
    <mergeCell ref="A1:D1"/>
    <mergeCell ref="A2:D2"/>
    <mergeCell ref="A3:D3"/>
    <mergeCell ref="A24:D24"/>
    <mergeCell ref="A26:D26"/>
    <mergeCell ref="A27:D27"/>
    <mergeCell ref="A28:D28"/>
    <mergeCell ref="A29:D29"/>
    <mergeCell ref="A30:D30"/>
    <mergeCell ref="A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62"/>
  </cols>
  <sheetData>
    <row r="1" customFormat="false" ht="27.75" hidden="false" customHeight="true" outlineLevel="0" collapsed="false">
      <c r="A1" s="18" t="s">
        <v>47</v>
      </c>
      <c r="B1" s="18"/>
      <c r="C1" s="18"/>
    </row>
    <row r="2" customFormat="false" ht="15" hidden="false" customHeight="true" outlineLevel="0" collapsed="false">
      <c r="A2" s="4" t="s">
        <v>48</v>
      </c>
      <c r="B2" s="4"/>
      <c r="C2" s="4"/>
    </row>
    <row r="3" customFormat="false" ht="15" hidden="false" customHeight="true" outlineLevel="0" collapsed="false">
      <c r="A3" s="19" t="s">
        <v>49</v>
      </c>
      <c r="B3" s="19" t="s">
        <v>4</v>
      </c>
      <c r="C3" s="19" t="s">
        <v>50</v>
      </c>
    </row>
    <row r="4" customFormat="false" ht="15" hidden="false" customHeight="true" outlineLevel="0" collapsed="false">
      <c r="A4" s="17" t="s">
        <v>51</v>
      </c>
      <c r="B4" s="17"/>
      <c r="C4" s="17"/>
    </row>
    <row r="5" customFormat="false" ht="15" hidden="false" customHeight="true" outlineLevel="0" collapsed="false">
      <c r="A5" s="11" t="s">
        <v>52</v>
      </c>
      <c r="B5" s="20" t="n">
        <v>5700000</v>
      </c>
      <c r="C5" s="14" t="s">
        <v>53</v>
      </c>
    </row>
    <row r="6" customFormat="false" ht="15" hidden="false" customHeight="true" outlineLevel="0" collapsed="false">
      <c r="A6" s="8" t="s">
        <v>54</v>
      </c>
      <c r="B6" s="21" t="n">
        <v>1</v>
      </c>
      <c r="C6" s="10" t="s">
        <v>55</v>
      </c>
    </row>
    <row r="7" customFormat="false" ht="15" hidden="false" customHeight="true" outlineLevel="0" collapsed="false">
      <c r="A7" s="11" t="s">
        <v>56</v>
      </c>
      <c r="B7" s="22" t="n">
        <v>0.15</v>
      </c>
      <c r="C7" s="14" t="s">
        <v>57</v>
      </c>
    </row>
    <row r="8" customFormat="false" ht="15" hidden="false" customHeight="true" outlineLevel="0" collapsed="false">
      <c r="A8" s="8" t="s">
        <v>8</v>
      </c>
      <c r="B8" s="23" t="n">
        <f aca="false">B5*B6*B7</f>
        <v>855000</v>
      </c>
      <c r="C8" s="10" t="s">
        <v>58</v>
      </c>
    </row>
    <row r="9" customFormat="false" ht="15" hidden="false" customHeight="true" outlineLevel="0" collapsed="false">
      <c r="A9" s="11" t="s">
        <v>59</v>
      </c>
      <c r="B9" s="20" t="n">
        <v>5000</v>
      </c>
      <c r="C9" s="14" t="s">
        <v>60</v>
      </c>
    </row>
    <row r="10" customFormat="false" ht="15" hidden="false" customHeight="true" outlineLevel="0" collapsed="false">
      <c r="A10" s="8" t="s">
        <v>61</v>
      </c>
      <c r="B10" s="24" t="n">
        <v>10000</v>
      </c>
      <c r="C10" s="10" t="s">
        <v>62</v>
      </c>
    </row>
    <row r="11" customFormat="false" ht="15" hidden="false" customHeight="true" outlineLevel="0" collapsed="false">
      <c r="A11" s="11" t="s">
        <v>63</v>
      </c>
      <c r="B11" s="25" t="n">
        <f aca="false">B9+B10</f>
        <v>15000</v>
      </c>
      <c r="C11" s="14" t="s">
        <v>64</v>
      </c>
    </row>
    <row r="12" customFormat="false" ht="15" hidden="false" customHeight="true" outlineLevel="0" collapsed="false">
      <c r="A12" s="8" t="s">
        <v>65</v>
      </c>
      <c r="B12" s="24" t="n">
        <v>860000</v>
      </c>
      <c r="C12" s="10" t="s">
        <v>66</v>
      </c>
    </row>
    <row r="13" customFormat="false" ht="15" hidden="false" customHeight="true" outlineLevel="0" collapsed="false">
      <c r="A13" s="11" t="s">
        <v>67</v>
      </c>
      <c r="B13" s="26" t="n">
        <f aca="false">IF(B12-B11&lt;=0,"-",B5*B6/(B12-B11))</f>
        <v>6.74556213017752</v>
      </c>
      <c r="C13" s="14" t="s">
        <v>68</v>
      </c>
    </row>
    <row r="15" customFormat="false" ht="15" hidden="false" customHeight="true" outlineLevel="0" collapsed="false">
      <c r="A15" s="17" t="s">
        <v>69</v>
      </c>
      <c r="B15" s="17"/>
      <c r="C15" s="17"/>
    </row>
    <row r="16" customFormat="false" ht="15" hidden="false" customHeight="true" outlineLevel="0" collapsed="false">
      <c r="A16" s="4" t="s">
        <v>70</v>
      </c>
      <c r="B16" s="4"/>
      <c r="C16" s="4"/>
    </row>
    <row r="17" customFormat="false" ht="15" hidden="false" customHeight="true" outlineLevel="0" collapsed="false">
      <c r="A17" s="11" t="s">
        <v>71</v>
      </c>
      <c r="B17" s="27" t="n">
        <v>0</v>
      </c>
      <c r="C17" s="14" t="s">
        <v>72</v>
      </c>
    </row>
    <row r="18" customFormat="false" ht="15" hidden="false" customHeight="true" outlineLevel="0" collapsed="false">
      <c r="A18" s="8" t="s">
        <v>73</v>
      </c>
      <c r="B18" s="28" t="n">
        <v>2</v>
      </c>
      <c r="C18" s="10" t="s">
        <v>74</v>
      </c>
    </row>
    <row r="21" customFormat="false" ht="15" hidden="false" customHeight="true" outlineLevel="0" collapsed="false">
      <c r="A21" s="17" t="s">
        <v>75</v>
      </c>
      <c r="B21" s="17"/>
      <c r="C21" s="17"/>
    </row>
    <row r="22" customFormat="false" ht="15" hidden="false" customHeight="true" outlineLevel="0" collapsed="false">
      <c r="A22" s="8" t="s">
        <v>76</v>
      </c>
      <c r="B22" s="29" t="n">
        <v>5</v>
      </c>
      <c r="C22" s="10" t="s">
        <v>77</v>
      </c>
    </row>
    <row r="23" customFormat="false" ht="15" hidden="false" customHeight="true" outlineLevel="0" collapsed="false">
      <c r="A23" s="11" t="s">
        <v>78</v>
      </c>
      <c r="B23" s="20" t="n">
        <v>5000</v>
      </c>
      <c r="C23" s="14" t="s">
        <v>60</v>
      </c>
    </row>
    <row r="24" customFormat="false" ht="15" hidden="false" customHeight="true" outlineLevel="0" collapsed="false">
      <c r="A24" s="8" t="s">
        <v>79</v>
      </c>
      <c r="B24" s="29" t="n">
        <v>3</v>
      </c>
      <c r="C24" s="10" t="s">
        <v>80</v>
      </c>
    </row>
    <row r="25" customFormat="false" ht="15" hidden="false" customHeight="true" outlineLevel="0" collapsed="false">
      <c r="A25" s="11" t="s">
        <v>81</v>
      </c>
      <c r="B25" s="20" t="n">
        <v>3000</v>
      </c>
      <c r="C25" s="14" t="s">
        <v>60</v>
      </c>
    </row>
    <row r="26" customFormat="false" ht="15" hidden="false" customHeight="true" outlineLevel="0" collapsed="false">
      <c r="A26" s="8" t="s">
        <v>82</v>
      </c>
      <c r="B26" s="24" t="n">
        <v>2000</v>
      </c>
      <c r="C26" s="10" t="s">
        <v>60</v>
      </c>
    </row>
    <row r="27" customFormat="false" ht="15" hidden="false" customHeight="true" outlineLevel="0" collapsed="false">
      <c r="A27" s="11" t="s">
        <v>83</v>
      </c>
      <c r="B27" s="20" t="n">
        <v>250000</v>
      </c>
      <c r="C27" s="14" t="s">
        <v>60</v>
      </c>
    </row>
    <row r="28" customFormat="false" ht="15" hidden="false" customHeight="true" outlineLevel="0" collapsed="false">
      <c r="A28" s="8" t="s">
        <v>84</v>
      </c>
      <c r="B28" s="24" t="n">
        <v>10000</v>
      </c>
      <c r="C28" s="10" t="s">
        <v>60</v>
      </c>
    </row>
    <row r="29" customFormat="false" ht="15" hidden="false" customHeight="true" outlineLevel="0" collapsed="false">
      <c r="A29" s="11" t="s">
        <v>85</v>
      </c>
      <c r="B29" s="27" t="n">
        <v>10</v>
      </c>
      <c r="C29" s="14" t="s">
        <v>86</v>
      </c>
    </row>
    <row r="30" customFormat="false" ht="15" hidden="false" customHeight="true" outlineLevel="0" collapsed="false">
      <c r="A30" s="8" t="s">
        <v>87</v>
      </c>
      <c r="B30" s="24" t="n">
        <v>5000</v>
      </c>
      <c r="C30" s="10" t="s">
        <v>60</v>
      </c>
    </row>
    <row r="31" customFormat="false" ht="15" hidden="false" customHeight="true" outlineLevel="0" collapsed="false">
      <c r="A31" s="11" t="s">
        <v>88</v>
      </c>
      <c r="B31" s="20" t="n">
        <v>30000</v>
      </c>
      <c r="C31" s="14" t="s">
        <v>89</v>
      </c>
    </row>
    <row r="32" customFormat="false" ht="15" hidden="false" customHeight="true" outlineLevel="0" collapsed="false">
      <c r="A32" s="8" t="s">
        <v>90</v>
      </c>
      <c r="B32" s="30" t="n">
        <v>0.02</v>
      </c>
      <c r="C32" s="10" t="s">
        <v>91</v>
      </c>
    </row>
  </sheetData>
  <mergeCells count="6">
    <mergeCell ref="A1:C1"/>
    <mergeCell ref="A2:C2"/>
    <mergeCell ref="A4:C4"/>
    <mergeCell ref="A15:C15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AA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5" min="2" style="1" width="9"/>
    <col collapsed="false" customWidth="true" hidden="false" outlineLevel="0" max="26" min="26" style="1" width="14"/>
    <col collapsed="false" customWidth="true" hidden="false" outlineLevel="0" max="27" min="27" style="1" width="38"/>
  </cols>
  <sheetData>
    <row r="1" customFormat="false" ht="27.75" hidden="false" customHeight="true" outlineLevel="0" collapsed="false">
      <c r="A1" s="18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customFormat="false" ht="15" hidden="false" customHeight="true" outlineLevel="0" collapsed="false">
      <c r="A2" s="4" t="s">
        <v>93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customFormat="false" ht="27.75" hidden="false" customHeight="true" outlineLevel="0" collapsed="false">
      <c r="A3" s="31"/>
      <c r="B3" s="32" t="s">
        <v>94</v>
      </c>
      <c r="C3" s="32" t="s">
        <v>95</v>
      </c>
      <c r="D3" s="32" t="s">
        <v>96</v>
      </c>
      <c r="E3" s="32" t="s">
        <v>97</v>
      </c>
      <c r="F3" s="32" t="s">
        <v>98</v>
      </c>
      <c r="G3" s="32" t="s">
        <v>99</v>
      </c>
      <c r="H3" s="32" t="s">
        <v>100</v>
      </c>
      <c r="I3" s="32" t="s">
        <v>101</v>
      </c>
      <c r="J3" s="32" t="s">
        <v>102</v>
      </c>
      <c r="K3" s="32" t="s">
        <v>103</v>
      </c>
      <c r="L3" s="32" t="s">
        <v>104</v>
      </c>
      <c r="M3" s="32" t="s">
        <v>105</v>
      </c>
      <c r="N3" s="32" t="s">
        <v>106</v>
      </c>
      <c r="O3" s="32" t="s">
        <v>107</v>
      </c>
      <c r="P3" s="32" t="s">
        <v>108</v>
      </c>
      <c r="Q3" s="32" t="s">
        <v>109</v>
      </c>
      <c r="R3" s="32" t="s">
        <v>110</v>
      </c>
      <c r="S3" s="32" t="s">
        <v>111</v>
      </c>
      <c r="T3" s="32" t="s">
        <v>112</v>
      </c>
      <c r="U3" s="32" t="s">
        <v>113</v>
      </c>
      <c r="V3" s="32" t="s">
        <v>114</v>
      </c>
      <c r="W3" s="32" t="s">
        <v>115</v>
      </c>
      <c r="X3" s="32" t="s">
        <v>116</v>
      </c>
      <c r="Y3" s="32" t="s">
        <v>117</v>
      </c>
      <c r="Z3" s="19" t="s">
        <v>118</v>
      </c>
      <c r="AA3" s="17" t="s">
        <v>119</v>
      </c>
    </row>
    <row r="4" customFormat="false" ht="15" hidden="false" customHeight="true" outlineLevel="0" collapsed="false">
      <c r="A4" s="17" t="s">
        <v>120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customFormat="false" ht="15" hidden="false" customHeight="true" outlineLevel="0" collapsed="false">
      <c r="A5" s="33" t="s">
        <v>121</v>
      </c>
      <c r="B5" s="29" t="n">
        <v>0</v>
      </c>
      <c r="C5" s="29" t="n">
        <v>0</v>
      </c>
      <c r="D5" s="29" t="n">
        <v>0</v>
      </c>
      <c r="E5" s="29" t="n">
        <v>1</v>
      </c>
      <c r="F5" s="29" t="n">
        <v>0</v>
      </c>
      <c r="G5" s="29" t="n">
        <v>0</v>
      </c>
      <c r="H5" s="29" t="n">
        <v>0</v>
      </c>
      <c r="I5" s="29" t="n">
        <v>1</v>
      </c>
      <c r="J5" s="29" t="n">
        <v>0</v>
      </c>
      <c r="K5" s="29" t="n">
        <v>0</v>
      </c>
      <c r="L5" s="29" t="n">
        <v>0</v>
      </c>
      <c r="M5" s="29" t="n">
        <v>1</v>
      </c>
      <c r="N5" s="29" t="n">
        <v>0</v>
      </c>
      <c r="O5" s="29" t="n">
        <v>2</v>
      </c>
      <c r="P5" s="29" t="n">
        <v>0</v>
      </c>
      <c r="Q5" s="29" t="n">
        <v>0</v>
      </c>
      <c r="R5" s="29" t="n">
        <v>0</v>
      </c>
      <c r="S5" s="29" t="n">
        <v>2</v>
      </c>
      <c r="T5" s="29" t="n">
        <v>0</v>
      </c>
      <c r="U5" s="29" t="n">
        <v>0</v>
      </c>
      <c r="V5" s="29" t="n">
        <v>0</v>
      </c>
      <c r="W5" s="29" t="n">
        <v>2</v>
      </c>
      <c r="X5" s="29" t="n">
        <v>0</v>
      </c>
      <c r="Y5" s="29" t="n">
        <v>0</v>
      </c>
      <c r="Z5" s="34" t="n">
        <f aca="false">SUM(B5:Y5)</f>
        <v>9</v>
      </c>
      <c r="AA5" s="4" t="s">
        <v>122</v>
      </c>
    </row>
    <row r="6" customFormat="false" ht="15" hidden="false" customHeight="true" outlineLevel="0" collapsed="false">
      <c r="A6" s="11" t="s">
        <v>123</v>
      </c>
      <c r="B6" s="25" t="n">
        <f aca="false">B5</f>
        <v>0</v>
      </c>
      <c r="C6" s="25" t="n">
        <f aca="false">B6+C5</f>
        <v>0</v>
      </c>
      <c r="D6" s="25" t="n">
        <f aca="false">C6+D5</f>
        <v>0</v>
      </c>
      <c r="E6" s="25" t="n">
        <f aca="false">D6+E5</f>
        <v>1</v>
      </c>
      <c r="F6" s="25" t="n">
        <f aca="false">E6+F5</f>
        <v>1</v>
      </c>
      <c r="G6" s="25" t="n">
        <f aca="false">F6+G5</f>
        <v>1</v>
      </c>
      <c r="H6" s="25" t="n">
        <f aca="false">G6+H5</f>
        <v>1</v>
      </c>
      <c r="I6" s="25" t="n">
        <f aca="false">H6+I5</f>
        <v>2</v>
      </c>
      <c r="J6" s="25" t="n">
        <f aca="false">I6+J5</f>
        <v>2</v>
      </c>
      <c r="K6" s="25" t="n">
        <f aca="false">J6+K5</f>
        <v>2</v>
      </c>
      <c r="L6" s="25" t="n">
        <f aca="false">K6+L5</f>
        <v>2</v>
      </c>
      <c r="M6" s="25" t="n">
        <f aca="false">L6+M5</f>
        <v>3</v>
      </c>
      <c r="N6" s="25" t="n">
        <f aca="false">M6+N5</f>
        <v>3</v>
      </c>
      <c r="O6" s="25" t="n">
        <f aca="false">N6+O5</f>
        <v>5</v>
      </c>
      <c r="P6" s="25" t="n">
        <f aca="false">O6+P5</f>
        <v>5</v>
      </c>
      <c r="Q6" s="25" t="n">
        <f aca="false">P6+Q5</f>
        <v>5</v>
      </c>
      <c r="R6" s="25" t="n">
        <f aca="false">Q6+R5</f>
        <v>5</v>
      </c>
      <c r="S6" s="25" t="n">
        <f aca="false">R6+S5</f>
        <v>7</v>
      </c>
      <c r="T6" s="25" t="n">
        <f aca="false">S6+T5</f>
        <v>7</v>
      </c>
      <c r="U6" s="25" t="n">
        <f aca="false">T6+U5</f>
        <v>7</v>
      </c>
      <c r="V6" s="25" t="n">
        <f aca="false">U6+V5</f>
        <v>7</v>
      </c>
      <c r="W6" s="25" t="n">
        <f aca="false">V6+W5</f>
        <v>9</v>
      </c>
      <c r="X6" s="25" t="n">
        <f aca="false">W6+X5</f>
        <v>9</v>
      </c>
      <c r="Y6" s="25" t="n">
        <f aca="false">X6+Y5</f>
        <v>9</v>
      </c>
      <c r="Z6" s="11"/>
      <c r="AA6" s="13" t="s">
        <v>124</v>
      </c>
    </row>
    <row r="7" customFormat="false" ht="15" hidden="false" customHeight="true" outlineLevel="0" collapsed="false">
      <c r="A7" s="17" t="s">
        <v>125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customFormat="false" ht="15" hidden="false" customHeight="true" outlineLevel="0" collapsed="false">
      <c r="A8" s="8" t="s">
        <v>126</v>
      </c>
      <c r="B8" s="23" t="n">
        <f aca="false">0</f>
        <v>0</v>
      </c>
      <c r="C8" s="23" t="n">
        <f aca="false">0</f>
        <v>0</v>
      </c>
      <c r="D8" s="23" t="n">
        <f aca="false">B5*Assumptions!$B$8</f>
        <v>0</v>
      </c>
      <c r="E8" s="23" t="n">
        <f aca="false">C5*Assumptions!$B$8</f>
        <v>0</v>
      </c>
      <c r="F8" s="23" t="n">
        <f aca="false">D5*Assumptions!$B$8</f>
        <v>0</v>
      </c>
      <c r="G8" s="23" t="n">
        <f aca="false">E5*Assumptions!$B$8</f>
        <v>855000</v>
      </c>
      <c r="H8" s="23" t="n">
        <f aca="false">F5*Assumptions!$B$8</f>
        <v>0</v>
      </c>
      <c r="I8" s="23" t="n">
        <f aca="false">G5*Assumptions!$B$8</f>
        <v>0</v>
      </c>
      <c r="J8" s="23" t="n">
        <f aca="false">H5*Assumptions!$B$8</f>
        <v>0</v>
      </c>
      <c r="K8" s="23" t="n">
        <f aca="false">I5*Assumptions!$B$8</f>
        <v>855000</v>
      </c>
      <c r="L8" s="23" t="n">
        <f aca="false">J5*Assumptions!$B$8</f>
        <v>0</v>
      </c>
      <c r="M8" s="23" t="n">
        <f aca="false">K5*Assumptions!$B$8</f>
        <v>0</v>
      </c>
      <c r="N8" s="23" t="n">
        <f aca="false">L5*Assumptions!$B$8</f>
        <v>0</v>
      </c>
      <c r="O8" s="23" t="n">
        <f aca="false">M5*Assumptions!$B$8</f>
        <v>855000</v>
      </c>
      <c r="P8" s="23" t="n">
        <f aca="false">N5*Assumptions!$B$8</f>
        <v>0</v>
      </c>
      <c r="Q8" s="23" t="n">
        <f aca="false">O5*Assumptions!$B$8</f>
        <v>1710000</v>
      </c>
      <c r="R8" s="23" t="n">
        <f aca="false">P5*Assumptions!$B$8</f>
        <v>0</v>
      </c>
      <c r="S8" s="23" t="n">
        <f aca="false">Q5*Assumptions!$B$8</f>
        <v>0</v>
      </c>
      <c r="T8" s="23" t="n">
        <f aca="false">R5*Assumptions!$B$8</f>
        <v>0</v>
      </c>
      <c r="U8" s="23" t="n">
        <f aca="false">S5*Assumptions!$B$8</f>
        <v>1710000</v>
      </c>
      <c r="V8" s="23" t="n">
        <f aca="false">T5*Assumptions!$B$8</f>
        <v>0</v>
      </c>
      <c r="W8" s="23" t="n">
        <f aca="false">U5*Assumptions!$B$8</f>
        <v>0</v>
      </c>
      <c r="X8" s="23" t="n">
        <f aca="false">V5*Assumptions!$B$8</f>
        <v>0</v>
      </c>
      <c r="Y8" s="23" t="n">
        <f aca="false">W5*Assumptions!$B$8</f>
        <v>1710000</v>
      </c>
      <c r="Z8" s="35" t="n">
        <f aca="false">SUM(B8:Y8)</f>
        <v>7695000</v>
      </c>
      <c r="AA8" s="4" t="s">
        <v>127</v>
      </c>
    </row>
    <row r="9" customFormat="false" ht="15" hidden="false" customHeight="true" outlineLevel="0" collapsed="false">
      <c r="A9" s="11" t="s">
        <v>128</v>
      </c>
      <c r="B9" s="25" t="n">
        <f aca="false">0</f>
        <v>0</v>
      </c>
      <c r="C9" s="25" t="n">
        <f aca="false">B6*Assumptions!$B$9/12</f>
        <v>0</v>
      </c>
      <c r="D9" s="25" t="n">
        <f aca="false">C6*Assumptions!$B$9/12</f>
        <v>0</v>
      </c>
      <c r="E9" s="25" t="n">
        <f aca="false">D6*Assumptions!$B$9/12</f>
        <v>0</v>
      </c>
      <c r="F9" s="25" t="n">
        <f aca="false">E6*Assumptions!$B$9/12</f>
        <v>416.666666666667</v>
      </c>
      <c r="G9" s="25" t="n">
        <f aca="false">F6*Assumptions!$B$9/12</f>
        <v>416.666666666667</v>
      </c>
      <c r="H9" s="25" t="n">
        <f aca="false">G6*Assumptions!$B$9/12</f>
        <v>416.666666666667</v>
      </c>
      <c r="I9" s="25" t="n">
        <f aca="false">H6*Assumptions!$B$9/12</f>
        <v>416.666666666667</v>
      </c>
      <c r="J9" s="25" t="n">
        <f aca="false">I6*Assumptions!$B$9/12</f>
        <v>833.333333333333</v>
      </c>
      <c r="K9" s="25" t="n">
        <f aca="false">J6*Assumptions!$B$9/12</f>
        <v>833.333333333333</v>
      </c>
      <c r="L9" s="25" t="n">
        <f aca="false">K6*Assumptions!$B$9/12</f>
        <v>833.333333333333</v>
      </c>
      <c r="M9" s="25" t="n">
        <f aca="false">L6*Assumptions!$B$9/12</f>
        <v>833.333333333333</v>
      </c>
      <c r="N9" s="25" t="n">
        <f aca="false">M6*Assumptions!$B$9/12</f>
        <v>1250</v>
      </c>
      <c r="O9" s="25" t="n">
        <f aca="false">N6*Assumptions!$B$9/12</f>
        <v>1250</v>
      </c>
      <c r="P9" s="25" t="n">
        <f aca="false">O6*Assumptions!$B$9/12</f>
        <v>2083.33333333333</v>
      </c>
      <c r="Q9" s="25" t="n">
        <f aca="false">P6*Assumptions!$B$9/12</f>
        <v>2083.33333333333</v>
      </c>
      <c r="R9" s="25" t="n">
        <f aca="false">Q6*Assumptions!$B$9/12</f>
        <v>2083.33333333333</v>
      </c>
      <c r="S9" s="25" t="n">
        <f aca="false">R6*Assumptions!$B$9/12</f>
        <v>2083.33333333333</v>
      </c>
      <c r="T9" s="25" t="n">
        <f aca="false">S6*Assumptions!$B$9/12</f>
        <v>2916.66666666667</v>
      </c>
      <c r="U9" s="25" t="n">
        <f aca="false">T6*Assumptions!$B$9/12</f>
        <v>2916.66666666667</v>
      </c>
      <c r="V9" s="25" t="n">
        <f aca="false">U6*Assumptions!$B$9/12</f>
        <v>2916.66666666667</v>
      </c>
      <c r="W9" s="25" t="n">
        <f aca="false">V6*Assumptions!$B$9/12</f>
        <v>2916.66666666667</v>
      </c>
      <c r="X9" s="25" t="n">
        <f aca="false">W6*Assumptions!$B$9/12</f>
        <v>3750</v>
      </c>
      <c r="Y9" s="25" t="n">
        <f aca="false">X6*Assumptions!$B$9/12</f>
        <v>3750</v>
      </c>
      <c r="Z9" s="36" t="n">
        <f aca="false">SUM(B9:Y9)</f>
        <v>35000</v>
      </c>
      <c r="AA9" s="13" t="s">
        <v>129</v>
      </c>
    </row>
    <row r="10" customFormat="false" ht="15" hidden="false" customHeight="true" outlineLevel="0" collapsed="false">
      <c r="A10" s="8" t="s">
        <v>130</v>
      </c>
      <c r="B10" s="23" t="n">
        <f aca="false">0</f>
        <v>0</v>
      </c>
      <c r="C10" s="23" t="n">
        <f aca="false">B6*Assumptions!$B$10/12</f>
        <v>0</v>
      </c>
      <c r="D10" s="23" t="n">
        <f aca="false">C6*Assumptions!$B$10/12</f>
        <v>0</v>
      </c>
      <c r="E10" s="23" t="n">
        <f aca="false">D6*Assumptions!$B$10/12</f>
        <v>0</v>
      </c>
      <c r="F10" s="23" t="n">
        <f aca="false">E6*Assumptions!$B$10/12</f>
        <v>833.333333333333</v>
      </c>
      <c r="G10" s="23" t="n">
        <f aca="false">F6*Assumptions!$B$10/12</f>
        <v>833.333333333333</v>
      </c>
      <c r="H10" s="23" t="n">
        <f aca="false">G6*Assumptions!$B$10/12</f>
        <v>833.333333333333</v>
      </c>
      <c r="I10" s="23" t="n">
        <f aca="false">H6*Assumptions!$B$10/12</f>
        <v>833.333333333333</v>
      </c>
      <c r="J10" s="23" t="n">
        <f aca="false">I6*Assumptions!$B$10/12</f>
        <v>1666.66666666667</v>
      </c>
      <c r="K10" s="23" t="n">
        <f aca="false">J6*Assumptions!$B$10/12</f>
        <v>1666.66666666667</v>
      </c>
      <c r="L10" s="23" t="n">
        <f aca="false">K6*Assumptions!$B$10/12</f>
        <v>1666.66666666667</v>
      </c>
      <c r="M10" s="23" t="n">
        <f aca="false">L6*Assumptions!$B$10/12</f>
        <v>1666.66666666667</v>
      </c>
      <c r="N10" s="23" t="n">
        <f aca="false">M6*Assumptions!$B$10/12</f>
        <v>2500</v>
      </c>
      <c r="O10" s="23" t="n">
        <f aca="false">N6*Assumptions!$B$10/12</f>
        <v>2500</v>
      </c>
      <c r="P10" s="23" t="n">
        <f aca="false">O6*Assumptions!$B$10/12</f>
        <v>4166.66666666667</v>
      </c>
      <c r="Q10" s="23" t="n">
        <f aca="false">P6*Assumptions!$B$10/12</f>
        <v>4166.66666666667</v>
      </c>
      <c r="R10" s="23" t="n">
        <f aca="false">Q6*Assumptions!$B$10/12</f>
        <v>4166.66666666667</v>
      </c>
      <c r="S10" s="23" t="n">
        <f aca="false">R6*Assumptions!$B$10/12</f>
        <v>4166.66666666667</v>
      </c>
      <c r="T10" s="23" t="n">
        <f aca="false">S6*Assumptions!$B$10/12</f>
        <v>5833.33333333333</v>
      </c>
      <c r="U10" s="23" t="n">
        <f aca="false">T6*Assumptions!$B$10/12</f>
        <v>5833.33333333333</v>
      </c>
      <c r="V10" s="23" t="n">
        <f aca="false">U6*Assumptions!$B$10/12</f>
        <v>5833.33333333333</v>
      </c>
      <c r="W10" s="23" t="n">
        <f aca="false">V6*Assumptions!$B$10/12</f>
        <v>5833.33333333333</v>
      </c>
      <c r="X10" s="23" t="n">
        <f aca="false">W6*Assumptions!$B$10/12</f>
        <v>7500</v>
      </c>
      <c r="Y10" s="23" t="n">
        <f aca="false">X6*Assumptions!$B$10/12</f>
        <v>7500</v>
      </c>
      <c r="Z10" s="35" t="n">
        <f aca="false">SUM(B10:Y10)</f>
        <v>70000</v>
      </c>
      <c r="AA10" s="4" t="s">
        <v>131</v>
      </c>
    </row>
    <row r="11" customFormat="false" ht="15" hidden="false" customHeight="true" outlineLevel="0" collapsed="false">
      <c r="A11" s="17" t="s">
        <v>132</v>
      </c>
      <c r="B11" s="37" t="n">
        <f aca="false">B8+B9+B10</f>
        <v>0</v>
      </c>
      <c r="C11" s="37" t="n">
        <f aca="false">C8+C9+C10</f>
        <v>0</v>
      </c>
      <c r="D11" s="37" t="n">
        <f aca="false">D8+D9+D10</f>
        <v>0</v>
      </c>
      <c r="E11" s="37" t="n">
        <f aca="false">E8+E9+E10</f>
        <v>0</v>
      </c>
      <c r="F11" s="37" t="n">
        <f aca="false">F8+F9+F10</f>
        <v>1250</v>
      </c>
      <c r="G11" s="37" t="n">
        <f aca="false">G8+G9+G10</f>
        <v>856250</v>
      </c>
      <c r="H11" s="37" t="n">
        <f aca="false">H8+H9+H10</f>
        <v>1250</v>
      </c>
      <c r="I11" s="37" t="n">
        <f aca="false">I8+I9+I10</f>
        <v>1250</v>
      </c>
      <c r="J11" s="37" t="n">
        <f aca="false">J8+J9+J10</f>
        <v>2500</v>
      </c>
      <c r="K11" s="37" t="n">
        <f aca="false">K8+K9+K10</f>
        <v>857500</v>
      </c>
      <c r="L11" s="37" t="n">
        <f aca="false">L8+L9+L10</f>
        <v>2500</v>
      </c>
      <c r="M11" s="37" t="n">
        <f aca="false">M8+M9+M10</f>
        <v>2500</v>
      </c>
      <c r="N11" s="37" t="n">
        <f aca="false">N8+N9+N10</f>
        <v>3750</v>
      </c>
      <c r="O11" s="37" t="n">
        <f aca="false">O8+O9+O10</f>
        <v>858750</v>
      </c>
      <c r="P11" s="37" t="n">
        <f aca="false">P8+P9+P10</f>
        <v>6250</v>
      </c>
      <c r="Q11" s="37" t="n">
        <f aca="false">Q8+Q9+Q10</f>
        <v>1716250</v>
      </c>
      <c r="R11" s="37" t="n">
        <f aca="false">R8+R9+R10</f>
        <v>6250</v>
      </c>
      <c r="S11" s="37" t="n">
        <f aca="false">S8+S9+S10</f>
        <v>6250</v>
      </c>
      <c r="T11" s="37" t="n">
        <f aca="false">T8+T9+T10</f>
        <v>8750</v>
      </c>
      <c r="U11" s="37" t="n">
        <f aca="false">U8+U9+U10</f>
        <v>1718750</v>
      </c>
      <c r="V11" s="37" t="n">
        <f aca="false">V8+V9+V10</f>
        <v>8750</v>
      </c>
      <c r="W11" s="37" t="n">
        <f aca="false">W8+W9+W10</f>
        <v>8750</v>
      </c>
      <c r="X11" s="37" t="n">
        <f aca="false">X8+X9+X10</f>
        <v>11250</v>
      </c>
      <c r="Y11" s="37" t="n">
        <f aca="false">Y8+Y9+Y10</f>
        <v>1721250</v>
      </c>
      <c r="Z11" s="38" t="n">
        <f aca="false">Z8+Z9+Z10</f>
        <v>7800000</v>
      </c>
      <c r="AA11" s="39" t="s">
        <v>133</v>
      </c>
    </row>
    <row r="12" customFormat="false" ht="15" hidden="false" customHeight="true" outlineLevel="0" collapsed="false">
      <c r="A12" s="17" t="s">
        <v>134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customFormat="false" ht="15" hidden="false" customHeight="true" outlineLevel="0" collapsed="false">
      <c r="A13" s="8" t="s">
        <v>135</v>
      </c>
      <c r="B13" s="23" t="n">
        <f aca="false">Assumptions!$B$22*Assumptions!$B$23</f>
        <v>25000</v>
      </c>
      <c r="C13" s="23" t="n">
        <f aca="false">Assumptions!$B$22*Assumptions!$B$23</f>
        <v>25000</v>
      </c>
      <c r="D13" s="23" t="n">
        <f aca="false">Assumptions!$B$22*Assumptions!$B$23</f>
        <v>25000</v>
      </c>
      <c r="E13" s="23" t="n">
        <f aca="false">Assumptions!$B$22*Assumptions!$B$23</f>
        <v>25000</v>
      </c>
      <c r="F13" s="23" t="n">
        <f aca="false">Assumptions!$B$22*Assumptions!$B$23</f>
        <v>25000</v>
      </c>
      <c r="G13" s="23" t="n">
        <f aca="false">Assumptions!$B$22*Assumptions!$B$23</f>
        <v>25000</v>
      </c>
      <c r="H13" s="23" t="n">
        <f aca="false">Assumptions!$B$22*Assumptions!$B$23</f>
        <v>25000</v>
      </c>
      <c r="I13" s="23" t="n">
        <f aca="false">Assumptions!$B$22*Assumptions!$B$23</f>
        <v>25000</v>
      </c>
      <c r="J13" s="23" t="n">
        <f aca="false">Assumptions!$B$22*Assumptions!$B$23</f>
        <v>25000</v>
      </c>
      <c r="K13" s="23" t="n">
        <f aca="false">Assumptions!$B$22*Assumptions!$B$23</f>
        <v>25000</v>
      </c>
      <c r="L13" s="23" t="n">
        <f aca="false">Assumptions!$B$22*Assumptions!$B$23</f>
        <v>25000</v>
      </c>
      <c r="M13" s="23" t="n">
        <f aca="false">Assumptions!$B$22*Assumptions!$B$23</f>
        <v>25000</v>
      </c>
      <c r="N13" s="23" t="n">
        <f aca="false">Assumptions!$B$22*Assumptions!$B$23</f>
        <v>25000</v>
      </c>
      <c r="O13" s="23" t="n">
        <f aca="false">Assumptions!$B$22*Assumptions!$B$23</f>
        <v>25000</v>
      </c>
      <c r="P13" s="23" t="n">
        <f aca="false">Assumptions!$B$22*Assumptions!$B$23</f>
        <v>25000</v>
      </c>
      <c r="Q13" s="23" t="n">
        <f aca="false">Assumptions!$B$22*Assumptions!$B$23</f>
        <v>25000</v>
      </c>
      <c r="R13" s="23" t="n">
        <f aca="false">Assumptions!$B$22*Assumptions!$B$23</f>
        <v>25000</v>
      </c>
      <c r="S13" s="23" t="n">
        <f aca="false">Assumptions!$B$22*Assumptions!$B$23</f>
        <v>25000</v>
      </c>
      <c r="T13" s="23" t="n">
        <f aca="false">Assumptions!$B$22*Assumptions!$B$23</f>
        <v>25000</v>
      </c>
      <c r="U13" s="23" t="n">
        <f aca="false">Assumptions!$B$22*Assumptions!$B$23</f>
        <v>25000</v>
      </c>
      <c r="V13" s="23" t="n">
        <f aca="false">Assumptions!$B$22*Assumptions!$B$23</f>
        <v>25000</v>
      </c>
      <c r="W13" s="23" t="n">
        <f aca="false">Assumptions!$B$22*Assumptions!$B$23</f>
        <v>25000</v>
      </c>
      <c r="X13" s="23" t="n">
        <f aca="false">Assumptions!$B$22*Assumptions!$B$23</f>
        <v>25000</v>
      </c>
      <c r="Y13" s="23" t="n">
        <f aca="false">Assumptions!$B$22*Assumptions!$B$23</f>
        <v>25000</v>
      </c>
      <c r="Z13" s="40" t="n">
        <f aca="false">SUM(B13:Y13)</f>
        <v>600000</v>
      </c>
      <c r="AA13" s="4" t="s">
        <v>60</v>
      </c>
    </row>
    <row r="14" customFormat="false" ht="15" hidden="false" customHeight="true" outlineLevel="0" collapsed="false">
      <c r="A14" s="11" t="s">
        <v>136</v>
      </c>
      <c r="B14" s="25" t="n">
        <f aca="false">Assumptions!$B$24*Assumptions!$B$25</f>
        <v>9000</v>
      </c>
      <c r="C14" s="25" t="n">
        <f aca="false">Assumptions!$B$24*Assumptions!$B$25</f>
        <v>9000</v>
      </c>
      <c r="D14" s="25" t="n">
        <f aca="false">Assumptions!$B$24*Assumptions!$B$25</f>
        <v>9000</v>
      </c>
      <c r="E14" s="25" t="n">
        <f aca="false">Assumptions!$B$24*Assumptions!$B$25</f>
        <v>9000</v>
      </c>
      <c r="F14" s="25" t="n">
        <f aca="false">Assumptions!$B$24*Assumptions!$B$25</f>
        <v>9000</v>
      </c>
      <c r="G14" s="25" t="n">
        <f aca="false">Assumptions!$B$24*Assumptions!$B$25</f>
        <v>9000</v>
      </c>
      <c r="H14" s="25" t="n">
        <f aca="false">Assumptions!$B$24*Assumptions!$B$25</f>
        <v>9000</v>
      </c>
      <c r="I14" s="25" t="n">
        <f aca="false">Assumptions!$B$24*Assumptions!$B$25</f>
        <v>9000</v>
      </c>
      <c r="J14" s="25" t="n">
        <f aca="false">Assumptions!$B$24*Assumptions!$B$25</f>
        <v>9000</v>
      </c>
      <c r="K14" s="25" t="n">
        <f aca="false">Assumptions!$B$24*Assumptions!$B$25</f>
        <v>9000</v>
      </c>
      <c r="L14" s="25" t="n">
        <f aca="false">Assumptions!$B$24*Assumptions!$B$25</f>
        <v>9000</v>
      </c>
      <c r="M14" s="25" t="n">
        <f aca="false">Assumptions!$B$24*Assumptions!$B$25</f>
        <v>9000</v>
      </c>
      <c r="N14" s="25" t="n">
        <f aca="false">Assumptions!$B$24*Assumptions!$B$25</f>
        <v>9000</v>
      </c>
      <c r="O14" s="25" t="n">
        <f aca="false">Assumptions!$B$24*Assumptions!$B$25</f>
        <v>9000</v>
      </c>
      <c r="P14" s="25" t="n">
        <f aca="false">Assumptions!$B$24*Assumptions!$B$25</f>
        <v>9000</v>
      </c>
      <c r="Q14" s="25" t="n">
        <f aca="false">Assumptions!$B$24*Assumptions!$B$25</f>
        <v>9000</v>
      </c>
      <c r="R14" s="25" t="n">
        <f aca="false">Assumptions!$B$24*Assumptions!$B$25</f>
        <v>9000</v>
      </c>
      <c r="S14" s="25" t="n">
        <f aca="false">Assumptions!$B$24*Assumptions!$B$25</f>
        <v>9000</v>
      </c>
      <c r="T14" s="25" t="n">
        <f aca="false">Assumptions!$B$24*Assumptions!$B$25</f>
        <v>9000</v>
      </c>
      <c r="U14" s="25" t="n">
        <f aca="false">Assumptions!$B$24*Assumptions!$B$25</f>
        <v>9000</v>
      </c>
      <c r="V14" s="25" t="n">
        <f aca="false">Assumptions!$B$24*Assumptions!$B$25</f>
        <v>9000</v>
      </c>
      <c r="W14" s="25" t="n">
        <f aca="false">Assumptions!$B$24*Assumptions!$B$25</f>
        <v>9000</v>
      </c>
      <c r="X14" s="25" t="n">
        <f aca="false">Assumptions!$B$24*Assumptions!$B$25</f>
        <v>9000</v>
      </c>
      <c r="Y14" s="25" t="n">
        <f aca="false">Assumptions!$B$24*Assumptions!$B$25</f>
        <v>9000</v>
      </c>
      <c r="Z14" s="41" t="n">
        <f aca="false">SUM(B14:Y14)</f>
        <v>216000</v>
      </c>
      <c r="AA14" s="13" t="s">
        <v>60</v>
      </c>
    </row>
    <row r="15" customFormat="false" ht="15" hidden="false" customHeight="true" outlineLevel="0" collapsed="false">
      <c r="A15" s="8" t="s">
        <v>137</v>
      </c>
      <c r="B15" s="23" t="n">
        <f aca="false">Assumptions!$B$26</f>
        <v>2000</v>
      </c>
      <c r="C15" s="23" t="n">
        <f aca="false">Assumptions!$B$26</f>
        <v>2000</v>
      </c>
      <c r="D15" s="23" t="n">
        <f aca="false">Assumptions!$B$26</f>
        <v>2000</v>
      </c>
      <c r="E15" s="23" t="n">
        <f aca="false">Assumptions!$B$26</f>
        <v>2000</v>
      </c>
      <c r="F15" s="23" t="n">
        <f aca="false">Assumptions!$B$26</f>
        <v>2000</v>
      </c>
      <c r="G15" s="23" t="n">
        <f aca="false">Assumptions!$B$26</f>
        <v>2000</v>
      </c>
      <c r="H15" s="23" t="n">
        <f aca="false">Assumptions!$B$26</f>
        <v>2000</v>
      </c>
      <c r="I15" s="23" t="n">
        <f aca="false">Assumptions!$B$26</f>
        <v>2000</v>
      </c>
      <c r="J15" s="23" t="n">
        <f aca="false">Assumptions!$B$26</f>
        <v>2000</v>
      </c>
      <c r="K15" s="23" t="n">
        <f aca="false">Assumptions!$B$26</f>
        <v>2000</v>
      </c>
      <c r="L15" s="23" t="n">
        <f aca="false">Assumptions!$B$26</f>
        <v>2000</v>
      </c>
      <c r="M15" s="23" t="n">
        <f aca="false">Assumptions!$B$26</f>
        <v>2000</v>
      </c>
      <c r="N15" s="23" t="n">
        <f aca="false">Assumptions!$B$26</f>
        <v>2000</v>
      </c>
      <c r="O15" s="23" t="n">
        <f aca="false">Assumptions!$B$26</f>
        <v>2000</v>
      </c>
      <c r="P15" s="23" t="n">
        <f aca="false">Assumptions!$B$26</f>
        <v>2000</v>
      </c>
      <c r="Q15" s="23" t="n">
        <f aca="false">Assumptions!$B$26</f>
        <v>2000</v>
      </c>
      <c r="R15" s="23" t="n">
        <f aca="false">Assumptions!$B$26</f>
        <v>2000</v>
      </c>
      <c r="S15" s="23" t="n">
        <f aca="false">Assumptions!$B$26</f>
        <v>2000</v>
      </c>
      <c r="T15" s="23" t="n">
        <f aca="false">Assumptions!$B$26</f>
        <v>2000</v>
      </c>
      <c r="U15" s="23" t="n">
        <f aca="false">Assumptions!$B$26</f>
        <v>2000</v>
      </c>
      <c r="V15" s="23" t="n">
        <f aca="false">Assumptions!$B$26</f>
        <v>2000</v>
      </c>
      <c r="W15" s="23" t="n">
        <f aca="false">Assumptions!$B$26</f>
        <v>2000</v>
      </c>
      <c r="X15" s="23" t="n">
        <f aca="false">Assumptions!$B$26</f>
        <v>2000</v>
      </c>
      <c r="Y15" s="23" t="n">
        <f aca="false">Assumptions!$B$26</f>
        <v>2000</v>
      </c>
      <c r="Z15" s="40" t="n">
        <f aca="false">SUM(B15:Y15)</f>
        <v>48000</v>
      </c>
      <c r="AA15" s="4" t="s">
        <v>138</v>
      </c>
    </row>
    <row r="16" customFormat="false" ht="15" hidden="false" customHeight="true" outlineLevel="0" collapsed="false">
      <c r="A16" s="11" t="s">
        <v>139</v>
      </c>
      <c r="B16" s="25" t="n">
        <f aca="false">ROUND(Assumptions!$B$27*0.1,0)</f>
        <v>25000</v>
      </c>
      <c r="C16" s="25" t="n">
        <f aca="false">ROUND(Assumptions!$B$27*0.1,0)</f>
        <v>25000</v>
      </c>
      <c r="D16" s="25" t="n">
        <f aca="false">ROUND(Assumptions!$B$27*0.1,0)</f>
        <v>25000</v>
      </c>
      <c r="E16" s="25" t="n">
        <f aca="false">ROUND(Assumptions!$B$27*0.1,0)</f>
        <v>25000</v>
      </c>
      <c r="F16" s="25" t="n">
        <f aca="false">ROUND(Assumptions!$B$27*0.1,0)</f>
        <v>25000</v>
      </c>
      <c r="G16" s="25" t="n">
        <f aca="false">ROUND(Assumptions!$B$27*0.1,0)</f>
        <v>25000</v>
      </c>
      <c r="H16" s="25" t="n">
        <f aca="false">ROUND(Assumptions!$B$27*0.0667,0)</f>
        <v>16675</v>
      </c>
      <c r="I16" s="25" t="n">
        <f aca="false">ROUND(Assumptions!$B$27*0.0667,0)</f>
        <v>16675</v>
      </c>
      <c r="J16" s="25" t="n">
        <f aca="false">ROUND(Assumptions!$B$27*0.0667,0)</f>
        <v>16675</v>
      </c>
      <c r="K16" s="25" t="n">
        <f aca="false">ROUND(Assumptions!$B$27*0.0667,0)</f>
        <v>16675</v>
      </c>
      <c r="L16" s="25" t="n">
        <f aca="false">ROUND(Assumptions!$B$27*0.0667,0)</f>
        <v>16675</v>
      </c>
      <c r="M16" s="25" t="n">
        <f aca="false">ROUND(Assumptions!$B$27*0.0667,0)</f>
        <v>16675</v>
      </c>
      <c r="N16" s="25" t="n">
        <f aca="false">ROUND(Assumptions!$B$27*0.5/12,0)</f>
        <v>10417</v>
      </c>
      <c r="O16" s="25" t="n">
        <f aca="false">ROUND(Assumptions!$B$27*0.5/12,0)</f>
        <v>10417</v>
      </c>
      <c r="P16" s="25" t="n">
        <f aca="false">ROUND(Assumptions!$B$27*0.5/12,0)</f>
        <v>10417</v>
      </c>
      <c r="Q16" s="25" t="n">
        <f aca="false">ROUND(Assumptions!$B$27*0.5/12,0)</f>
        <v>10417</v>
      </c>
      <c r="R16" s="25" t="n">
        <f aca="false">ROUND(Assumptions!$B$27*0.5/12,0)</f>
        <v>10417</v>
      </c>
      <c r="S16" s="25" t="n">
        <f aca="false">ROUND(Assumptions!$B$27*0.5/12,0)</f>
        <v>10417</v>
      </c>
      <c r="T16" s="25" t="n">
        <f aca="false">ROUND(Assumptions!$B$27*0.5/12,0)</f>
        <v>10417</v>
      </c>
      <c r="U16" s="25" t="n">
        <f aca="false">ROUND(Assumptions!$B$27*0.5/12,0)</f>
        <v>10417</v>
      </c>
      <c r="V16" s="25" t="n">
        <f aca="false">ROUND(Assumptions!$B$27*0.5/12,0)</f>
        <v>10417</v>
      </c>
      <c r="W16" s="25" t="n">
        <f aca="false">ROUND(Assumptions!$B$27*0.5/12,0)</f>
        <v>10417</v>
      </c>
      <c r="X16" s="25" t="n">
        <f aca="false">ROUND(Assumptions!$B$27*0.5/12,0)</f>
        <v>10417</v>
      </c>
      <c r="Y16" s="25" t="n">
        <f aca="false">ROUND(Assumptions!$B$27*0.5/12,0)</f>
        <v>10417</v>
      </c>
      <c r="Z16" s="41" t="n">
        <f aca="false">SUM(B16:Y16)</f>
        <v>375054</v>
      </c>
      <c r="AA16" s="13" t="s">
        <v>140</v>
      </c>
    </row>
    <row r="17" customFormat="false" ht="15" hidden="false" customHeight="true" outlineLevel="0" collapsed="false">
      <c r="A17" s="8" t="s">
        <v>141</v>
      </c>
      <c r="B17" s="23" t="n">
        <f aca="false">0</f>
        <v>0</v>
      </c>
      <c r="C17" s="23" t="n">
        <f aca="false">0</f>
        <v>0</v>
      </c>
      <c r="D17" s="23" t="n">
        <f aca="false">Assumptions!$B$28</f>
        <v>10000</v>
      </c>
      <c r="E17" s="23" t="n">
        <f aca="false">Assumptions!$B$28</f>
        <v>10000</v>
      </c>
      <c r="F17" s="23" t="n">
        <f aca="false">Assumptions!$B$28</f>
        <v>10000</v>
      </c>
      <c r="G17" s="23" t="n">
        <f aca="false">Assumptions!$B$28</f>
        <v>10000</v>
      </c>
      <c r="H17" s="23" t="n">
        <f aca="false">Assumptions!$B$28</f>
        <v>10000</v>
      </c>
      <c r="I17" s="23" t="n">
        <f aca="false">Assumptions!$B$28</f>
        <v>10000</v>
      </c>
      <c r="J17" s="23" t="n">
        <f aca="false">Assumptions!$B$28</f>
        <v>10000</v>
      </c>
      <c r="K17" s="23" t="n">
        <f aca="false">Assumptions!$B$28</f>
        <v>10000</v>
      </c>
      <c r="L17" s="23" t="n">
        <f aca="false">Assumptions!$B$28</f>
        <v>10000</v>
      </c>
      <c r="M17" s="23" t="n">
        <f aca="false">Assumptions!$B$28</f>
        <v>10000</v>
      </c>
      <c r="N17" s="23" t="n">
        <f aca="false">Assumptions!$B$28</f>
        <v>10000</v>
      </c>
      <c r="O17" s="23" t="n">
        <f aca="false">Assumptions!$B$28</f>
        <v>10000</v>
      </c>
      <c r="P17" s="23" t="n">
        <f aca="false">Assumptions!$B$28</f>
        <v>10000</v>
      </c>
      <c r="Q17" s="23" t="n">
        <f aca="false">Assumptions!$B$28</f>
        <v>10000</v>
      </c>
      <c r="R17" s="23" t="n">
        <f aca="false">Assumptions!$B$28</f>
        <v>10000</v>
      </c>
      <c r="S17" s="23" t="n">
        <f aca="false">Assumptions!$B$28</f>
        <v>10000</v>
      </c>
      <c r="T17" s="23" t="n">
        <f aca="false">Assumptions!$B$28</f>
        <v>10000</v>
      </c>
      <c r="U17" s="23" t="n">
        <f aca="false">Assumptions!$B$28</f>
        <v>10000</v>
      </c>
      <c r="V17" s="23" t="n">
        <f aca="false">Assumptions!$B$28</f>
        <v>10000</v>
      </c>
      <c r="W17" s="23" t="n">
        <f aca="false">Assumptions!$B$28</f>
        <v>10000</v>
      </c>
      <c r="X17" s="23" t="n">
        <f aca="false">Assumptions!$B$28</f>
        <v>10000</v>
      </c>
      <c r="Y17" s="23" t="n">
        <f aca="false">Assumptions!$B$28</f>
        <v>10000</v>
      </c>
      <c r="Z17" s="40" t="n">
        <f aca="false">SUM(B17:Y17)</f>
        <v>220000</v>
      </c>
      <c r="AA17" s="4" t="s">
        <v>142</v>
      </c>
    </row>
    <row r="18" customFormat="false" ht="15" hidden="false" customHeight="true" outlineLevel="0" collapsed="false">
      <c r="A18" s="11" t="s">
        <v>143</v>
      </c>
      <c r="B18" s="25" t="n">
        <f aca="false">Assumptions!$B$30</f>
        <v>5000</v>
      </c>
      <c r="C18" s="25" t="n">
        <f aca="false">Assumptions!$B$30</f>
        <v>5000</v>
      </c>
      <c r="D18" s="25" t="n">
        <f aca="false">Assumptions!$B$30</f>
        <v>5000</v>
      </c>
      <c r="E18" s="25" t="n">
        <f aca="false">Assumptions!$B$30</f>
        <v>5000</v>
      </c>
      <c r="F18" s="25" t="n">
        <f aca="false">Assumptions!$B$30</f>
        <v>5000</v>
      </c>
      <c r="G18" s="25" t="n">
        <f aca="false">Assumptions!$B$30</f>
        <v>5000</v>
      </c>
      <c r="H18" s="25" t="n">
        <f aca="false">Assumptions!$B$30</f>
        <v>5000</v>
      </c>
      <c r="I18" s="25" t="n">
        <f aca="false">Assumptions!$B$30</f>
        <v>5000</v>
      </c>
      <c r="J18" s="25" t="n">
        <f aca="false">Assumptions!$B$30</f>
        <v>5000</v>
      </c>
      <c r="K18" s="25" t="n">
        <f aca="false">Assumptions!$B$30</f>
        <v>5000</v>
      </c>
      <c r="L18" s="25" t="n">
        <f aca="false">Assumptions!$B$30</f>
        <v>5000</v>
      </c>
      <c r="M18" s="25" t="n">
        <f aca="false">Assumptions!$B$30</f>
        <v>5000</v>
      </c>
      <c r="N18" s="25" t="n">
        <f aca="false">Assumptions!$B$30</f>
        <v>5000</v>
      </c>
      <c r="O18" s="25" t="n">
        <f aca="false">Assumptions!$B$30</f>
        <v>5000</v>
      </c>
      <c r="P18" s="25" t="n">
        <f aca="false">Assumptions!$B$30</f>
        <v>5000</v>
      </c>
      <c r="Q18" s="25" t="n">
        <f aca="false">Assumptions!$B$30</f>
        <v>5000</v>
      </c>
      <c r="R18" s="25" t="n">
        <f aca="false">Assumptions!$B$30</f>
        <v>5000</v>
      </c>
      <c r="S18" s="25" t="n">
        <f aca="false">Assumptions!$B$30</f>
        <v>5000</v>
      </c>
      <c r="T18" s="25" t="n">
        <f aca="false">Assumptions!$B$30</f>
        <v>5000</v>
      </c>
      <c r="U18" s="25" t="n">
        <f aca="false">Assumptions!$B$30</f>
        <v>5000</v>
      </c>
      <c r="V18" s="25" t="n">
        <f aca="false">Assumptions!$B$30</f>
        <v>5000</v>
      </c>
      <c r="W18" s="25" t="n">
        <f aca="false">Assumptions!$B$30</f>
        <v>5000</v>
      </c>
      <c r="X18" s="25" t="n">
        <f aca="false">Assumptions!$B$30</f>
        <v>5000</v>
      </c>
      <c r="Y18" s="25" t="n">
        <f aca="false">Assumptions!$B$30</f>
        <v>5000</v>
      </c>
      <c r="Z18" s="41" t="n">
        <f aca="false">SUM(B18:Y18)</f>
        <v>120000</v>
      </c>
      <c r="AA18" s="13" t="s">
        <v>138</v>
      </c>
    </row>
    <row r="19" customFormat="false" ht="15" hidden="false" customHeight="true" outlineLevel="0" collapsed="false">
      <c r="A19" s="8" t="s">
        <v>144</v>
      </c>
      <c r="B19" s="23" t="n">
        <f aca="false">0</f>
        <v>0</v>
      </c>
      <c r="C19" s="23" t="n">
        <f aca="false">0</f>
        <v>0</v>
      </c>
      <c r="D19" s="23" t="n">
        <f aca="false">ROUND(Assumptions!$B$31/4,0)</f>
        <v>7500</v>
      </c>
      <c r="E19" s="23" t="n">
        <f aca="false">0</f>
        <v>0</v>
      </c>
      <c r="F19" s="23" t="n">
        <f aca="false">0</f>
        <v>0</v>
      </c>
      <c r="G19" s="23" t="n">
        <f aca="false">ROUND(Assumptions!$B$31/4,0)</f>
        <v>7500</v>
      </c>
      <c r="H19" s="23" t="n">
        <f aca="false">0</f>
        <v>0</v>
      </c>
      <c r="I19" s="23" t="n">
        <f aca="false">0</f>
        <v>0</v>
      </c>
      <c r="J19" s="23" t="n">
        <f aca="false">ROUND(Assumptions!$B$31/4,0)</f>
        <v>7500</v>
      </c>
      <c r="K19" s="23" t="n">
        <f aca="false">0</f>
        <v>0</v>
      </c>
      <c r="L19" s="23" t="n">
        <f aca="false">0</f>
        <v>0</v>
      </c>
      <c r="M19" s="23" t="n">
        <f aca="false">ROUND(Assumptions!$B$31/4,0)</f>
        <v>7500</v>
      </c>
      <c r="N19" s="23" t="n">
        <f aca="false">0</f>
        <v>0</v>
      </c>
      <c r="O19" s="23" t="n">
        <f aca="false">0</f>
        <v>0</v>
      </c>
      <c r="P19" s="23" t="n">
        <f aca="false">ROUND(Assumptions!$B$31/4,0)</f>
        <v>7500</v>
      </c>
      <c r="Q19" s="23" t="n">
        <f aca="false">0</f>
        <v>0</v>
      </c>
      <c r="R19" s="23" t="n">
        <f aca="false">0</f>
        <v>0</v>
      </c>
      <c r="S19" s="23" t="n">
        <f aca="false">ROUND(Assumptions!$B$31/4,0)</f>
        <v>7500</v>
      </c>
      <c r="T19" s="23" t="n">
        <f aca="false">0</f>
        <v>0</v>
      </c>
      <c r="U19" s="23" t="n">
        <f aca="false">0</f>
        <v>0</v>
      </c>
      <c r="V19" s="23" t="n">
        <f aca="false">ROUND(Assumptions!$B$31/4,0)</f>
        <v>7500</v>
      </c>
      <c r="W19" s="23" t="n">
        <f aca="false">0</f>
        <v>0</v>
      </c>
      <c r="X19" s="23" t="n">
        <f aca="false">0</f>
        <v>0</v>
      </c>
      <c r="Y19" s="23" t="n">
        <f aca="false">ROUND(Assumptions!$B$31/4,0)</f>
        <v>7500</v>
      </c>
      <c r="Z19" s="40" t="n">
        <f aca="false">SUM(B19:Y19)</f>
        <v>60000</v>
      </c>
      <c r="AA19" s="4" t="s">
        <v>145</v>
      </c>
    </row>
    <row r="20" customFormat="false" ht="15" hidden="false" customHeight="true" outlineLevel="0" collapsed="false">
      <c r="A20" s="42" t="s">
        <v>146</v>
      </c>
      <c r="B20" s="43" t="n">
        <f aca="false">B13+B14+B15+B16+B17+B18+B19</f>
        <v>66000</v>
      </c>
      <c r="C20" s="43" t="n">
        <f aca="false">C13+C14+C15+C16+C17+C18+C19</f>
        <v>66000</v>
      </c>
      <c r="D20" s="43" t="n">
        <f aca="false">D13+D14+D15+D16+D17+D18+D19</f>
        <v>83500</v>
      </c>
      <c r="E20" s="43" t="n">
        <f aca="false">E13+E14+E15+E16+E17+E18+E19</f>
        <v>76000</v>
      </c>
      <c r="F20" s="43" t="n">
        <f aca="false">F13+F14+F15+F16+F17+F18+F19</f>
        <v>76000</v>
      </c>
      <c r="G20" s="43" t="n">
        <f aca="false">G13+G14+G15+G16+G17+G18+G19</f>
        <v>83500</v>
      </c>
      <c r="H20" s="43" t="n">
        <f aca="false">H13+H14+H15+H16+H17+H18+H19</f>
        <v>67675</v>
      </c>
      <c r="I20" s="43" t="n">
        <f aca="false">I13+I14+I15+I16+I17+I18+I19</f>
        <v>67675</v>
      </c>
      <c r="J20" s="43" t="n">
        <f aca="false">J13+J14+J15+J16+J17+J18+J19</f>
        <v>75175</v>
      </c>
      <c r="K20" s="43" t="n">
        <f aca="false">K13+K14+K15+K16+K17+K18+K19</f>
        <v>67675</v>
      </c>
      <c r="L20" s="43" t="n">
        <f aca="false">L13+L14+L15+L16+L17+L18+L19</f>
        <v>67675</v>
      </c>
      <c r="M20" s="43" t="n">
        <f aca="false">M13+M14+M15+M16+M17+M18+M19</f>
        <v>75175</v>
      </c>
      <c r="N20" s="43" t="n">
        <f aca="false">N13+N14+N15+N16+N17+N18+N19</f>
        <v>61417</v>
      </c>
      <c r="O20" s="43" t="n">
        <f aca="false">O13+O14+O15+O16+O17+O18+O19</f>
        <v>61417</v>
      </c>
      <c r="P20" s="43" t="n">
        <f aca="false">P13+P14+P15+P16+P17+P18+P19</f>
        <v>68917</v>
      </c>
      <c r="Q20" s="43" t="n">
        <f aca="false">Q13+Q14+Q15+Q16+Q17+Q18+Q19</f>
        <v>61417</v>
      </c>
      <c r="R20" s="43" t="n">
        <f aca="false">R13+R14+R15+R16+R17+R18+R19</f>
        <v>61417</v>
      </c>
      <c r="S20" s="43" t="n">
        <f aca="false">S13+S14+S15+S16+S17+S18+S19</f>
        <v>68917</v>
      </c>
      <c r="T20" s="43" t="n">
        <f aca="false">T13+T14+T15+T16+T17+T18+T19</f>
        <v>61417</v>
      </c>
      <c r="U20" s="43" t="n">
        <f aca="false">U13+U14+U15+U16+U17+U18+U19</f>
        <v>61417</v>
      </c>
      <c r="V20" s="43" t="n">
        <f aca="false">V13+V14+V15+V16+V17+V18+V19</f>
        <v>68917</v>
      </c>
      <c r="W20" s="43" t="n">
        <f aca="false">W13+W14+W15+W16+W17+W18+W19</f>
        <v>61417</v>
      </c>
      <c r="X20" s="43" t="n">
        <f aca="false">X13+X14+X15+X16+X17+X18+X19</f>
        <v>61417</v>
      </c>
      <c r="Y20" s="43" t="n">
        <f aca="false">Y13+Y14+Y15+Y16+Y17+Y18+Y19</f>
        <v>68917</v>
      </c>
      <c r="Z20" s="44" t="n">
        <f aca="false">Z13+Z14+Z15+Z16+Z17+Z18+Z19</f>
        <v>1639054</v>
      </c>
      <c r="AA20" s="45" t="s">
        <v>147</v>
      </c>
    </row>
    <row r="21" customFormat="false" ht="15" hidden="false" customHeight="true" outlineLevel="0" collapsed="false">
      <c r="A21" s="17" t="s">
        <v>148</v>
      </c>
      <c r="B21" s="37" t="n">
        <f aca="false">B11-B20</f>
        <v>-66000</v>
      </c>
      <c r="C21" s="37" t="n">
        <f aca="false">C11-C20</f>
        <v>-66000</v>
      </c>
      <c r="D21" s="37" t="n">
        <f aca="false">D11-D20</f>
        <v>-83500</v>
      </c>
      <c r="E21" s="37" t="n">
        <f aca="false">E11-E20</f>
        <v>-76000</v>
      </c>
      <c r="F21" s="37" t="n">
        <f aca="false">F11-F20</f>
        <v>-74750</v>
      </c>
      <c r="G21" s="37" t="n">
        <f aca="false">G11-G20</f>
        <v>772750</v>
      </c>
      <c r="H21" s="37" t="n">
        <f aca="false">H11-H20</f>
        <v>-66425</v>
      </c>
      <c r="I21" s="37" t="n">
        <f aca="false">I11-I20</f>
        <v>-66425</v>
      </c>
      <c r="J21" s="37" t="n">
        <f aca="false">J11-J20</f>
        <v>-72675</v>
      </c>
      <c r="K21" s="37" t="n">
        <f aca="false">K11-K20</f>
        <v>789825</v>
      </c>
      <c r="L21" s="37" t="n">
        <f aca="false">L11-L20</f>
        <v>-65175</v>
      </c>
      <c r="M21" s="37" t="n">
        <f aca="false">M11-M20</f>
        <v>-72675</v>
      </c>
      <c r="N21" s="37" t="n">
        <f aca="false">N11-N20</f>
        <v>-57667</v>
      </c>
      <c r="O21" s="37" t="n">
        <f aca="false">O11-O20</f>
        <v>797333</v>
      </c>
      <c r="P21" s="37" t="n">
        <f aca="false">P11-P20</f>
        <v>-62667</v>
      </c>
      <c r="Q21" s="37" t="n">
        <f aca="false">Q11-Q20</f>
        <v>1654833</v>
      </c>
      <c r="R21" s="37" t="n">
        <f aca="false">R11-R20</f>
        <v>-55167</v>
      </c>
      <c r="S21" s="37" t="n">
        <f aca="false">S11-S20</f>
        <v>-62667</v>
      </c>
      <c r="T21" s="37" t="n">
        <f aca="false">T11-T20</f>
        <v>-52667</v>
      </c>
      <c r="U21" s="37" t="n">
        <f aca="false">U11-U20</f>
        <v>1657333</v>
      </c>
      <c r="V21" s="37" t="n">
        <f aca="false">V11-V20</f>
        <v>-60167</v>
      </c>
      <c r="W21" s="37" t="n">
        <f aca="false">W11-W20</f>
        <v>-52667</v>
      </c>
      <c r="X21" s="37" t="n">
        <f aca="false">X11-X20</f>
        <v>-50167</v>
      </c>
      <c r="Y21" s="37" t="n">
        <f aca="false">Y11-Y20</f>
        <v>1652333</v>
      </c>
      <c r="Z21" s="38" t="n">
        <f aca="false">Z11-Z20</f>
        <v>6160946</v>
      </c>
      <c r="AA21" s="31"/>
    </row>
    <row r="22" customFormat="false" ht="15" hidden="false" customHeight="true" outlineLevel="0" collapsed="false">
      <c r="A22" s="46" t="s">
        <v>149</v>
      </c>
      <c r="B22" s="47" t="n">
        <f aca="false">B21</f>
        <v>-66000</v>
      </c>
      <c r="C22" s="47" t="n">
        <f aca="false">B22+C21</f>
        <v>-132000</v>
      </c>
      <c r="D22" s="47" t="n">
        <f aca="false">C22+D21</f>
        <v>-215500</v>
      </c>
      <c r="E22" s="47" t="n">
        <f aca="false">D22+E21</f>
        <v>-291500</v>
      </c>
      <c r="F22" s="47" t="n">
        <f aca="false">E22+F21</f>
        <v>-366250</v>
      </c>
      <c r="G22" s="47" t="n">
        <f aca="false">F22+G21</f>
        <v>406500</v>
      </c>
      <c r="H22" s="47" t="n">
        <f aca="false">G22+H21</f>
        <v>340075</v>
      </c>
      <c r="I22" s="47" t="n">
        <f aca="false">H22+I21</f>
        <v>273650</v>
      </c>
      <c r="J22" s="47" t="n">
        <f aca="false">I22+J21</f>
        <v>200975</v>
      </c>
      <c r="K22" s="47" t="n">
        <f aca="false">J22+K21</f>
        <v>990800</v>
      </c>
      <c r="L22" s="47" t="n">
        <f aca="false">K22+L21</f>
        <v>925625</v>
      </c>
      <c r="M22" s="47" t="n">
        <f aca="false">L22+M21</f>
        <v>852950</v>
      </c>
      <c r="N22" s="47" t="n">
        <f aca="false">M22+N21</f>
        <v>795283</v>
      </c>
      <c r="O22" s="47" t="n">
        <f aca="false">N22+O21</f>
        <v>1592616</v>
      </c>
      <c r="P22" s="47" t="n">
        <f aca="false">O22+P21</f>
        <v>1529949</v>
      </c>
      <c r="Q22" s="47" t="n">
        <f aca="false">P22+Q21</f>
        <v>3184782</v>
      </c>
      <c r="R22" s="47" t="n">
        <f aca="false">Q22+R21</f>
        <v>3129615</v>
      </c>
      <c r="S22" s="47" t="n">
        <f aca="false">R22+S21</f>
        <v>3066948</v>
      </c>
      <c r="T22" s="47" t="n">
        <f aca="false">S22+T21</f>
        <v>3014281</v>
      </c>
      <c r="U22" s="47" t="n">
        <f aca="false">T22+U21</f>
        <v>4671614</v>
      </c>
      <c r="V22" s="47" t="n">
        <f aca="false">U22+V21</f>
        <v>4611447</v>
      </c>
      <c r="W22" s="47" t="n">
        <f aca="false">V22+W21</f>
        <v>4558780</v>
      </c>
      <c r="X22" s="47" t="n">
        <f aca="false">W22+X21</f>
        <v>4508613</v>
      </c>
      <c r="Y22" s="47" t="n">
        <f aca="false">X22+Y21</f>
        <v>6160946</v>
      </c>
      <c r="Z22" s="48" t="n">
        <f aca="false">Y22</f>
        <v>6160946</v>
      </c>
      <c r="AA22" s="49" t="s">
        <v>150</v>
      </c>
    </row>
    <row r="23" customFormat="false" ht="15" hidden="false" customHeight="true" outlineLevel="0" collapsed="false">
      <c r="A23" s="6" t="s">
        <v>151</v>
      </c>
      <c r="B23" s="50" t="str">
        <f aca="false">IF(B22&gt;0,"✓ YES","")</f>
        <v/>
      </c>
      <c r="C23" s="50" t="str">
        <f aca="false">IF(AND(C22&gt;0,B22&lt;=0),"✓ BREAKEVEN","")</f>
        <v/>
      </c>
      <c r="D23" s="50" t="str">
        <f aca="false">IF(AND(D22&gt;0,C22&lt;=0),"✓ BREAKEVEN","")</f>
        <v/>
      </c>
      <c r="E23" s="50" t="str">
        <f aca="false">IF(AND(E22&gt;0,D22&lt;=0),"✓ BREAKEVEN","")</f>
        <v/>
      </c>
      <c r="F23" s="50" t="str">
        <f aca="false">IF(AND(F22&gt;0,E22&lt;=0),"✓ BREAKEVEN","")</f>
        <v/>
      </c>
      <c r="G23" s="50" t="str">
        <f aca="false">IF(AND(G22&gt;0,F22&lt;=0),"✓ BREAKEVEN","")</f>
        <v>✓ BREAKEVEN</v>
      </c>
      <c r="H23" s="50" t="str">
        <f aca="false">IF(AND(H22&gt;0,G22&lt;=0),"✓ BREAKEVEN","")</f>
        <v/>
      </c>
      <c r="I23" s="50" t="str">
        <f aca="false">IF(AND(I22&gt;0,H22&lt;=0),"✓ BREAKEVEN","")</f>
        <v/>
      </c>
      <c r="J23" s="50" t="str">
        <f aca="false">IF(AND(J22&gt;0,I22&lt;=0),"✓ BREAKEVEN","")</f>
        <v/>
      </c>
      <c r="K23" s="50" t="str">
        <f aca="false">IF(AND(K22&gt;0,J22&lt;=0),"✓ BREAKEVEN","")</f>
        <v/>
      </c>
      <c r="L23" s="50" t="str">
        <f aca="false">IF(AND(L22&gt;0,K22&lt;=0),"✓ BREAKEVEN","")</f>
        <v/>
      </c>
      <c r="M23" s="50" t="str">
        <f aca="false">IF(AND(M22&gt;0,L22&lt;=0),"✓ BREAKEVEN","")</f>
        <v/>
      </c>
      <c r="N23" s="50" t="str">
        <f aca="false">IF(AND(N22&gt;0,M22&lt;=0),"✓ BREAKEVEN","")</f>
        <v/>
      </c>
      <c r="O23" s="50" t="str">
        <f aca="false">IF(AND(O22&gt;0,N22&lt;=0),"✓ BREAKEVEN","")</f>
        <v/>
      </c>
      <c r="P23" s="50" t="str">
        <f aca="false">IF(AND(P22&gt;0,O22&lt;=0),"✓ BREAKEVEN","")</f>
        <v/>
      </c>
      <c r="Q23" s="50" t="str">
        <f aca="false">IF(AND(Q22&gt;0,P22&lt;=0),"✓ BREAKEVEN","")</f>
        <v/>
      </c>
      <c r="R23" s="50" t="str">
        <f aca="false">IF(AND(R22&gt;0,Q22&lt;=0),"✓ BREAKEVEN","")</f>
        <v/>
      </c>
      <c r="S23" s="50" t="str">
        <f aca="false">IF(AND(S22&gt;0,R22&lt;=0),"✓ BREAKEVEN","")</f>
        <v/>
      </c>
      <c r="T23" s="50" t="str">
        <f aca="false">IF(AND(T22&gt;0,S22&lt;=0),"✓ BREAKEVEN","")</f>
        <v/>
      </c>
      <c r="U23" s="50" t="str">
        <f aca="false">IF(AND(U22&gt;0,T22&lt;=0),"✓ BREAKEVEN","")</f>
        <v/>
      </c>
      <c r="V23" s="50" t="str">
        <f aca="false">IF(AND(V22&gt;0,U22&lt;=0),"✓ BREAKEVEN","")</f>
        <v/>
      </c>
      <c r="W23" s="50" t="str">
        <f aca="false">IF(AND(W22&gt;0,V22&lt;=0),"✓ BREAKEVEN","")</f>
        <v/>
      </c>
      <c r="X23" s="50" t="str">
        <f aca="false">IF(AND(X22&gt;0,W22&lt;=0),"✓ BREAKEVEN","")</f>
        <v/>
      </c>
      <c r="Y23" s="50" t="str">
        <f aca="false">IF(AND(Y22&gt;0,X22&lt;=0),"✓ BREAKEVEN","")</f>
        <v/>
      </c>
      <c r="Z23" s="50" t="str">
        <f aca="false">IF(SUMPRODUCT(--(B22:Y22&gt;0))&gt;0,"Breakeven reached","Not yet reached")</f>
        <v>Breakeven reached</v>
      </c>
      <c r="AA23" s="51" t="s">
        <v>152</v>
      </c>
    </row>
    <row r="24" customFormat="false" ht="15" hidden="false" customHeight="true" outlineLevel="0" collapsed="false">
      <c r="A24" s="7" t="s">
        <v>153</v>
      </c>
      <c r="B24" s="50" t="n">
        <f aca="false">IFERROR(MATCH(TRUE(),INDEX(B22:Y22&gt;0,0),0),"Not in 24M")</f>
        <v>6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2"/>
      <c r="AA24" s="51" t="s">
        <v>154</v>
      </c>
    </row>
    <row r="26" customFormat="false" ht="15" hidden="false" customHeight="true" outlineLevel="0" collapsed="false">
      <c r="A26" s="42" t="s">
        <v>155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</row>
    <row r="27" customFormat="false" ht="15" hidden="false" customHeight="true" outlineLevel="0" collapsed="false">
      <c r="A27" s="8" t="s">
        <v>156</v>
      </c>
      <c r="B27" s="53" t="n">
        <f aca="false">Assumptions!B8</f>
        <v>855000</v>
      </c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AA27" s="54" t="s">
        <v>157</v>
      </c>
    </row>
    <row r="28" customFormat="false" ht="15" hidden="false" customHeight="true" outlineLevel="0" collapsed="false">
      <c r="A28" s="11" t="s">
        <v>158</v>
      </c>
      <c r="B28" s="55" t="n">
        <f aca="false">Z20/2</f>
        <v>819527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AA28" s="13" t="s">
        <v>159</v>
      </c>
    </row>
    <row r="29" customFormat="false" ht="15" hidden="false" customHeight="true" outlineLevel="0" collapsed="false">
      <c r="A29" s="8" t="s">
        <v>160</v>
      </c>
      <c r="B29" s="56" t="n">
        <f aca="false">CEILING(Z20/2/Assumptions!B8,1)</f>
        <v>1</v>
      </c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AA29" s="54" t="s">
        <v>161</v>
      </c>
    </row>
  </sheetData>
  <mergeCells count="10">
    <mergeCell ref="A1:AA1"/>
    <mergeCell ref="A2:AA2"/>
    <mergeCell ref="A4:AA4"/>
    <mergeCell ref="A7:AA7"/>
    <mergeCell ref="A12:AA12"/>
    <mergeCell ref="B24:Y24"/>
    <mergeCell ref="A26:AA26"/>
    <mergeCell ref="B27:Y27"/>
    <mergeCell ref="B28:Y28"/>
    <mergeCell ref="B29:Y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2026-06-16T13:43:12Z</dcterms:created>
  <dc:creator>openpyxl</dc:creator>
  <dc:description/>
  <dc:language>en-US</dc:language>
  <cp:lastModifiedBy/>
  <dcterms:modified xsi:type="dcterms:W3CDTF">2026-06-16T13:43:33Z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