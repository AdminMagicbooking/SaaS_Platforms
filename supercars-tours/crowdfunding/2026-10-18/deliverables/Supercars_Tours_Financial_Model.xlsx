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fd4886bc8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4c1215bff246ac"/>
    <x:sheet xmlns:r="http://schemas.openxmlformats.org/officeDocument/2006/relationships" name="Assumptions" sheetId="2" r:id="R04411197909747f1"/>
    <x:sheet xmlns:r="http://schemas.openxmlformats.org/officeDocument/2006/relationships" name="Forecast" sheetId="3" r:id="R9237adc3016f47f9"/>
    <x:sheet xmlns:r="http://schemas.openxmlformats.org/officeDocument/2006/relationships" name="Raise" sheetId="4" r:id="Rbefeccf9f1e4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(#,##0);&quot;-&quot;"/>
    <x:numFmt numFmtId="201" formatCode="0.0%"/>
    <x:numFmt numFmtId="202" formatCode="0.0;(0.0);&quot;-&quot;"/>
    <x:numFmt numFmtId="203" formatCode="&quot;€&quot;#,##0;(&quot;€&quot;#,##0);&quot;-&quot;"/>
    <x:numFmt numFmtId="204" formatCode="0.00"/>
    <x:numFmt numFmtId="205" formatCode="0"/>
  </x:numFmts>
  <x:fonts count="11">
    <x:font>
      <x:sz val="11"/>
      <x:name val="Carlito"/>
    </x:font>
    <x:font>
      <x:sz val="10"/>
      <x:color rgb="FF111827"/>
      <x:name val="Arial"/>
    </x:font>
    <x:font>
      <x:b/>
      <x:sz val="15"/>
      <x:color rgb="FF000000"/>
      <x:name val="Arial"/>
    </x:font>
    <x:font>
      <x:i/>
      <x:sz val="10"/>
      <x:color rgb="FF11182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11827"/>
      <x:name val="Arial"/>
    </x:font>
    <x:font>
      <x:sz val="10"/>
      <x:color rgb="FF000000"/>
      <x:name val="Arial"/>
    </x:font>
    <x:font>
      <x:sz val="10"/>
      <x:color rgb="FF008000"/>
      <x:name val="Arial"/>
    </x:font>
    <x:font>
      <x:b/>
      <x:sz val="10"/>
      <x:color rgb="FF000000"/>
      <x:name val="Arial"/>
    </x:font>
    <x:font>
      <x:b/>
      <x:sz val="10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2CC"/>
      </x:patternFill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3" fontId="6" fillId="4" borderId="0" xfId="0" applyNumberFormat="1" applyFont="1" applyFill="1" applyBorder="1"/>
    <x:xf numFmtId="203" fontId="1" fillId="0" borderId="0" xfId="0" applyNumberFormat="1" applyFont="1" applyFill="1" applyBorder="1"/>
    <x:xf numFmtId="201" fontId="1" fillId="0" borderId="0" xfId="0" applyNumberFormat="1" applyFont="1" applyFill="1" applyBorder="1"/>
    <x:xf numFmtId="204" fontId="1" fillId="0" borderId="0" xfId="0" applyNumberFormat="1" applyFont="1" applyFill="1" applyBorder="1"/>
    <x:xf numFmtId="203" fontId="1" fillId="4" borderId="0" xfId="0" applyNumberFormat="1" applyFont="1" applyFill="1" applyBorder="1"/>
    <x:xf numFmtId="205" fontId="1" fillId="0" borderId="0" xfId="0" applyNumberFormat="1" applyFont="1" applyFill="1" applyBorder="1"/>
    <x:xf numFmtId="204" fontId="7" fillId="0" borderId="0" xfId="0" applyNumberFormat="1" applyFont="1" applyFill="1" applyBorder="1"/>
    <x:xf numFmtId="200" fontId="7" fillId="3" borderId="0" xfId="0" applyNumberFormat="1" applyFont="1" applyFill="1" applyBorder="1"/>
    <x:xf numFmtId="200" fontId="8" fillId="0" borderId="0" xfId="0" applyNumberFormat="1" applyFont="1" applyFill="1" applyBorder="1"/>
    <x:xf numFmtId="200" fontId="7" fillId="0" borderId="0" xfId="0" applyNumberFormat="1" applyFont="1" applyFill="1" applyBorder="1"/>
    <x:xf numFmtId="202" fontId="8" fillId="0" borderId="0" xfId="0" applyNumberFormat="1" applyFont="1" applyFill="1" applyBorder="1"/>
    <x:xf numFmtId="202" fontId="7" fillId="0" borderId="0" xfId="0" applyNumberFormat="1" applyFont="1" applyFill="1" applyBorder="1"/>
    <x:xf numFmtId="203" fontId="9" fillId="4" borderId="0" xfId="0" applyNumberFormat="1" applyFont="1" applyFill="1" applyBorder="1"/>
    <x:xf numFmtId="203" fontId="10" fillId="4" borderId="0" xfId="0" applyNumberFormat="1" applyFont="1" applyFill="1" applyBorder="1"/>
    <x:xf numFmtId="203" fontId="8" fillId="0" borderId="0" xfId="0" applyNumberFormat="1" applyFont="1" applyFill="1" applyBorder="1"/>
    <x:xf numFmtId="201" fontId="8" fillId="0" borderId="0" xfId="0" applyNumberFormat="1" applyFont="1" applyFill="1" applyBorder="1"/>
    <x:xf numFmtId="203" fontId="7" fillId="0" borderId="0" xfId="0" applyNumberFormat="1" applyFont="1" applyFill="1" applyBorder="1"/>
    <x:xf numFmtId="201" fontId="7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d1603d4a2431e" /><Relationship Type="http://schemas.openxmlformats.org/officeDocument/2006/relationships/theme" Target="/xl/theme/theme1.xml" Id="R9c48c95aa8574cbc" /><Relationship Type="http://schemas.openxmlformats.org/officeDocument/2006/relationships/sharedStrings" Target="/xl/sharedStrings.xml" Id="R1cb7efa4304d42b6" /><Relationship Type="http://schemas.openxmlformats.org/officeDocument/2006/relationships/worksheet" Target="/xl/worksheets/sheet1.xml" Id="Rde4c1215bff246ac" /><Relationship Type="http://schemas.openxmlformats.org/officeDocument/2006/relationships/worksheet" Target="/xl/worksheets/sheet2.xml" Id="R04411197909747f1" /><Relationship Type="http://schemas.openxmlformats.org/officeDocument/2006/relationships/worksheet" Target="/xl/worksheets/sheet3.xml" Id="R9237adc3016f47f9" /><Relationship Type="http://schemas.openxmlformats.org/officeDocument/2006/relationships/worksheet" Target="/xl/worksheets/sheet4.xml" Id="Rbefeccf9f1e4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Supercars.Tours summary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7" customHeight="1">
      <x:c r="A3" s="1"/>
      <x:c r="B3" s="1"/>
      <x:c r="C3" s="3" t="str">
        <x:v>Illustrative plan | EUR | UK operations | 18 October 2026</x:v>
      </x:c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7" customHeight="1">
      <x:c r="A6" s="1"/>
      <x:c r="B6" s="1"/>
      <x:c r="C6" s="7" t="str">
        <x:v>Forecast period</x:v>
      </x:c>
      <x:c r="D6" s="7" t="str">
        <x:v>Year 1</x:v>
      </x:c>
      <x:c r="E6" s="7" t="str">
        <x:v>Year 2</x:v>
      </x:c>
      <x:c r="F6" s="7" t="str">
        <x:v>Year 3</x:v>
      </x:c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2" customHeight="1">
      <x:c r="A9" s="1"/>
      <x:c r="B9" s="1"/>
      <x:c r="C9" s="17" t="str">
        <x:v>Recognised revenue</x:v>
      </x:c>
      <x:c r="D9" s="19" t="n">
        <x:f>SUM('Forecast'!D35:O35)</x:f>
        <x:v>44986.875</x:v>
      </x:c>
      <x:c r="E9" s="19" t="n">
        <x:f>SUM('Forecast'!P35:AA35)</x:f>
        <x:v>285733.62559552974</x:v>
      </x:c>
      <x:c r="F9" s="19" t="n">
        <x:f>SUM('Forecast'!AB35:AM35)</x:f>
        <x:v>552540.0649810699</x:v>
      </x:c>
      <x:c r="G9" s="1"/>
      <x:c r="H9" s="1"/>
      <x:c r="I9" s="1"/>
      <x:c r="J9" s="1"/>
      <x:c r="K9" s="1"/>
      <x:c r="L9" s="1"/>
    </x:row>
    <x:row r="10" ht="22" customHeight="1">
      <x:c r="A10" s="1"/>
      <x:c r="B10" s="1"/>
      <x:c r="C10" s="1" t="str">
        <x:v>Customer cash collections</x:v>
      </x:c>
      <x:c r="D10" s="20" t="n">
        <x:f>SUM('Forecast'!D36:O36)</x:f>
        <x:v>107461.875</x:v>
      </x:c>
      <x:c r="E10" s="20" t="n">
        <x:f>SUM('Forecast'!P36:AA36)</x:f>
        <x:v>366246.12559552974</x:v>
      </x:c>
      <x:c r="F10" s="20" t="n">
        <x:f>SUM('Forecast'!AB36:AM36)</x:f>
        <x:v>647340.0649810699</x:v>
      </x:c>
      <x:c r="G10" s="1"/>
      <x:c r="H10" s="1"/>
      <x:c r="I10" s="1"/>
      <x:c r="J10" s="1"/>
      <x:c r="K10" s="1"/>
      <x:c r="L10" s="1"/>
    </x:row>
    <x:row r="11" ht="22" customHeight="1">
      <x:c r="A11" s="1"/>
      <x:c r="B11" s="1"/>
      <x:c r="C11" s="1" t="str">
        <x:v>Operating costs before development</x:v>
      </x:c>
      <x:c r="D11" s="20" t="n">
        <x:f>SUM('Forecast'!D47:O47)</x:f>
        <x:v>238398.58125</x:v>
      </x:c>
      <x:c r="E11" s="20" t="n">
        <x:f>SUM('Forecast'!P47:AA47)</x:f>
        <x:v>369611.603791687</x:v>
      </x:c>
      <x:c r="F11" s="20" t="n">
        <x:f>SUM('Forecast'!AB47:AM47)</x:f>
        <x:v>484573.8045486749</x:v>
      </x:c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7" t="str">
        <x:v>Operating result before development</x:v>
      </x:c>
      <x:c r="D12" s="19" t="n">
        <x:f>SUM('Forecast'!D48:O48)</x:f>
        <x:v>-193411.70625</x:v>
      </x:c>
      <x:c r="E12" s="19" t="n">
        <x:f>SUM('Forecast'!P48:AA48)</x:f>
        <x:v>-83877.97819615736</x:v>
      </x:c>
      <x:c r="F12" s="19" t="n">
        <x:f>SUM('Forecast'!AB48:AM48)</x:f>
        <x:v>67966.26043239512</x:v>
      </x:c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1" t="str">
        <x:v>Development cash costs</x:v>
      </x:c>
      <x:c r="D13" s="20" t="n">
        <x:f>SUM('Forecast'!D50:O50)</x:f>
        <x:v>90000</x:v>
      </x:c>
      <x:c r="E13" s="20" t="n">
        <x:f>SUM('Forecast'!P50:AA50)</x:f>
        <x:v>0</x:v>
      </x:c>
      <x:c r="F13" s="20" t="n">
        <x:f>SUM('Forecast'!AB50:AM50)</x:f>
        <x:v>0</x:v>
      </x:c>
      <x:c r="G13" s="1"/>
      <x:c r="H13" s="1"/>
      <x:c r="I13" s="1"/>
      <x:c r="J13" s="1"/>
      <x:c r="K13" s="1"/>
      <x:c r="L13" s="1"/>
    </x:row>
    <x:row r="14" ht="22" customHeight="1">
      <x:c r="A14" s="1"/>
      <x:c r="B14" s="1"/>
      <x:c r="C14" s="1" t="str">
        <x:v>Contingency cash spending</x:v>
      </x:c>
      <x:c r="D14" s="20" t="n">
        <x:f>SUM('Forecast'!D52:O52)</x:f>
        <x:v>32839.858125</x:v>
      </x:c>
      <x:c r="E14" s="20" t="n">
        <x:f>SUM('Forecast'!P52:AA52)</x:f>
        <x:v>36961.16037916871</x:v>
      </x:c>
      <x:c r="F14" s="20" t="n">
        <x:f>SUM('Forecast'!AB52:AM52)</x:f>
        <x:v>48457.38045486749</x:v>
      </x:c>
      <x:c r="G14" s="1"/>
      <x:c r="H14" s="1"/>
      <x:c r="I14" s="1"/>
      <x:c r="J14" s="1"/>
      <x:c r="K14" s="1"/>
      <x:c r="L14" s="1"/>
    </x:row>
    <x:row r="15" ht="22" customHeight="1">
      <x:c r="A15" s="1"/>
      <x:c r="B15" s="1"/>
      <x:c r="C15" s="17" t="str">
        <x:v>Operating net cash flow</x:v>
      </x:c>
      <x:c r="D15" s="19" t="n">
        <x:f>SUM('Forecast'!D54:O54)</x:f>
        <x:v>-253776.56437500002</x:v>
      </x:c>
      <x:c r="E15" s="19" t="n">
        <x:f>SUM('Forecast'!P54:AA54)</x:f>
        <x:v>-40326.63857532609</x:v>
      </x:c>
      <x:c r="F15" s="19" t="n">
        <x:f>SUM('Forecast'!AB54:AM54)</x:f>
        <x:v>114308.87997752766</x:v>
      </x:c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 t="str">
        <x:v>Net equity proceeds</x:v>
      </x:c>
      <x:c r="D16" s="20" t="n">
        <x:f>SUM('Forecast'!D57:O57)</x:f>
        <x:v>762000</x:v>
      </x:c>
      <x:c r="E16" s="20" t="n">
        <x:f>SUM('Forecast'!P57:AA57)</x:f>
        <x:v>0</x:v>
      </x:c>
      <x:c r="F16" s="20" t="n">
        <x:f>SUM('Forecast'!AB57:AM57)</x:f>
        <x:v>0</x:v>
      </x:c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7" t="str">
        <x:v>Closing cash balance</x:v>
      </x:c>
      <x:c r="D17" s="19" t="n">
        <x:f>'Forecast'!O58</x:f>
        <x:v>508223.435625</x:v>
      </x:c>
      <x:c r="E17" s="19" t="n">
        <x:f>'Forecast'!AA58</x:f>
        <x:v>467896.79704967386</x:v>
      </x:c>
      <x:c r="F17" s="19" t="n">
        <x:f>'Forecast'!AM58</x:f>
        <x:v>582205.6770272014</x:v>
      </x:c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 t="str">
        <x:v>Active paid listings at year end</x:v>
      </x:c>
      <x:c r="D18" s="14" t="n">
        <x:f>'Forecast'!O12</x:f>
        <x:v>96</x:v>
      </x:c>
      <x:c r="E18" s="14" t="n">
        <x:f>'Forecast'!AA12</x:f>
        <x:v>288</x:v>
      </x:c>
      <x:c r="F18" s="14" t="n">
        <x:f>'Forecast'!AM12</x:f>
        <x:v>516</x:v>
      </x:c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 t="str">
        <x:v>Active sponsors at year end</x:v>
      </x:c>
      <x:c r="D19" s="14" t="n">
        <x:f>'Forecast'!O19</x:f>
        <x:v>2</x:v>
      </x:c>
      <x:c r="E19" s="14" t="n">
        <x:f>'Forecast'!AA19</x:f>
        <x:v>3.4000000000000004</x:v>
      </x:c>
      <x:c r="F19" s="14" t="n">
        <x:f>'Forecast'!AM19</x:f>
        <x:v>4.380000000000001</x:v>
      </x:c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 t="str">
        <x:v>Active premium accounts at year end</x:v>
      </x:c>
      <x:c r="D20" s="14" t="n">
        <x:f>'Forecast'!O25</x:f>
        <x:v>2.8525</x:v>
      </x:c>
      <x:c r="E20" s="14" t="n">
        <x:f>'Forecast'!AA25</x:f>
        <x:v>10.734175396804934</x:v>
      </x:c>
      <x:c r="F20" s="14" t="n">
        <x:f>'Forecast'!AM25</x:f>
        <x:v>14.993118205150894</x:v>
      </x:c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 t="str">
        <x:v>Accepted paid leads in year</x:v>
      </x:c>
      <x:c r="D21" s="14" t="n">
        <x:f>SUM('Forecast'!D32:O32)</x:f>
        <x:v>42.75</x:v>
      </x:c>
      <x:c r="E21" s="14" t="n">
        <x:f>SUM('Forecast'!P32:AA32)</x:f>
        <x:v>346.5</x:v>
      </x:c>
      <x:c r="F21" s="14" t="n">
        <x:f>SUM('Forecast'!AB32:AM32)</x:f>
        <x:v>769.5</x:v>
      </x:c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 t="str">
        <x:v>Minimum closing cash across 36 months</x:v>
      </x:c>
      <x:c r="D24" s="20" t="n">
        <x:f>MIN('Forecast'!D58:AM58)</x:f>
        <x:v>457978.80536009494</x:v>
      </x:c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 t="str">
        <x:v>Months before first negative cash balance</x:v>
      </x:c>
      <x:c r="D25" s="24" t="n">
        <x:f>IF(COUNTIFS('Forecast'!D60:AM60,1)=0,36,MATCH(1,'Forecast'!D60:AM60,0)-1)</x:f>
        <x:v>36</x:v>
      </x:c>
      <x:c r="E25" s="1"/>
      <x:c r="F25" s="1"/>
      <x:c r="G25" s="1" t="str">
        <x:v>36 means no cash deficit within this model horizon.</x:v>
      </x:c>
      <x:c r="H25" s="1"/>
      <x:c r="I25" s="1"/>
      <x:c r="J25" s="1"/>
      <x:c r="K25" s="1"/>
      <x:c r="L25" s="1"/>
    </x:row>
    <x:row r="26" ht="22" customHeight="1">
      <x:c r="A26" s="1"/>
      <x:c r="B26" s="1"/>
      <x:c r="C26" s="1" t="str">
        <x:v>Gross needed for this plan and reserve</x:v>
      </x:c>
      <x:c r="D26" s="20" t="n">
        <x:f>'Raise'!D15</x:f>
        <x:v>433718.6898259838</x:v>
      </x:c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 t="str">
        <x:v>Shortfall against proposed gross target</x:v>
      </x:c>
      <x:c r="D27" s="20" t="n">
        <x:f>'Raise'!D16</x:f>
        <x:v>0</x:v>
      </x:c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 t="str">
        <x:v>Target above modelled funding need</x:v>
      </x:c>
      <x:c r="D28" s="20" t="n">
        <x:f>MAX(0,'Raise'!D6-D26)</x:f>
        <x:v>416281.3101740162</x:v>
      </x:c>
      <x:c r="E28" s="1"/>
      <x:c r="F28" s="1"/>
      <x:c r="G28" s="1" t="str">
        <x:v>The full target needs further cost and milestone evidence.</x:v>
      </x:c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7" customHeight="1">
      <x:c r="A31" s="1"/>
      <x:c r="B31" s="1"/>
      <x:c r="C31" s="7" t="str">
        <x:v>Forecast reconciliation checks</x:v>
      </x:c>
      <x:c r="D31" s="7" t="str">
        <x:v>Difference</x:v>
      </x:c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 t="str">
        <x:v>Deferred revenue reconciliation</x:v>
      </x:c>
      <x:c r="D32" s="25" t="n">
        <x:f>'Assumptions'!D37+SUM('Forecast'!D36:AM36)-SUM('Forecast'!D35:AM35)-'Forecast'!AM38</x:f>
        <x:v>-1.1641532182693481e-10</x:v>
      </x:c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 t="str">
        <x:v>Cash reconciliation</x:v>
      </x:c>
      <x:c r="D33" s="25" t="n">
        <x:f>'Forecast'!AM58-'Assumptions'!D8-SUM('Forecast'!D54:AM54)-SUM('Forecast'!D57:AM57)</x:f>
        <x:v>-1.1641532182693481e-10</x:v>
      </x:c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 t="str">
        <x:v>Sponsor capacity excess</x:v>
      </x:c>
      <x:c r="D34" s="25" t="n">
        <x:f>MAX(0,MAX('Forecast'!D19:AM19)-'Assumptions'!D13)</x:f>
        <x:v>0</x:v>
      </x:c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 t="str">
        <x:v>Premium account capacity excess</x:v>
      </x:c>
      <x:c r="D35" s="25" t="n">
        <x:f>MAX('Forecast'!D61:AM61)</x:f>
        <x:v>0</x:v>
      </x:c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 t="str">
        <x:v>Missing monthly driver inputs</x:v>
      </x:c>
      <x:c r="D36" s="25" t="n">
        <x:f>COUNTBLANK('Assumptions'!D51:AM58)</x:f>
        <x:v>0</x:v>
      </x:c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 t="str">
        <x:v>Revenue annual aggregation difference</x:v>
      </x:c>
      <x:c r="D37" s="25" t="n">
        <x:f>SUM(D9:F9)-SUM('Forecast'!D35:AM35)</x:f>
        <x:v>-1.1641532182693481e-10</x:v>
      </x:c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 t="str">
        <x:v>No actual financial history or verified traction supplied. All forecasts are illustrative.</x:v>
      </x:c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 t="str">
        <x:v>Revenue uses annual subscriptions recognised monthly and billed at the start of each service year.</x:v>
      </x:c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 t="str">
        <x:v>New accounts start at the beginning of each month; renewals occur after 12 months.</x:v>
      </x:c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 t="str">
        <x:v>Expected account and lead counts may be fractional. Lead volume is constrained by supplier capacity.</x:v>
      </x:c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 t="str">
        <x:v>Cash model assumes immediate collection, no bad debts, no VAT, income tax, FX, debt or existing liabilities.</x:v>
      </x:c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 t="str">
        <x:v>Those omissions must be added before investor submission. Development is fully expensed in this plan.</x:v>
      </x:c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 t="str">
        <x:v>Any spending before investment closes needs separate funding. No interim financing is assumed.</x:v>
      </x:c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 t="str">
        <x:v>Set target to 700000 or 1000000 to inspect the funding range. Update costs and volumes with evidence.</x:v>
      </x:c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</x:sheetData>
  <x:conditionalFormatting sqref="D32:D37">
    <x:cfRule type="expression" dxfId="1" priority="1">
      <x:formula>ABS(D32)&gt;0.01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8728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5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</x:row>
    <x:row r="2" ht="22" customHeight="1">
      <x:c r="A2" s="1"/>
      <x:c r="B2" s="1"/>
      <x:c r="C2" s="2" t="str">
        <x:v>Supercars.Tours assumptions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</x:row>
    <x:row r="3" ht="27" customHeight="1">
      <x:c r="A3" s="1"/>
      <x:c r="B3" s="1"/>
      <x:c r="C3" s="3" t="str">
        <x:v>Illustrative plan | EUR | UK operations | 18 October 2026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</x:row>
    <x:row r="5" ht="27" customHeight="1">
      <x:c r="A5" s="1"/>
      <x:c r="B5" s="1"/>
      <x:c r="C5" s="7" t="str">
        <x:v>Editable driver</x:v>
      </x:c>
      <x:c r="D5" s="7" t="str">
        <x:v>Input</x:v>
      </x:c>
      <x:c r="E5" s="7" t="str">
        <x:v>Basis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</x:row>
    <x:row r="6" ht="22" customHeight="1">
      <x:c r="A6" s="1"/>
      <x:c r="B6" s="1"/>
      <x:c r="C6" s="1" t="str">
        <x:v>Currency</x:v>
      </x:c>
      <x:c r="D6" s="9" t="str">
        <x:v>EUR</x:v>
      </x:c>
      <x:c r="E6" s="1" t="str">
        <x:v>Raise currency confirmed by founder; translate GBP cost quotes before entry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</x:row>
    <x:row r="7" ht="22" customHeight="1">
      <x:c r="A7" s="1"/>
      <x:c r="B7" s="1"/>
      <x:c r="C7" s="1" t="str">
        <x:v>Period basis</x:v>
      </x:c>
      <x:c r="D7" s="9" t="str">
        <x:v>After funding</x:v>
      </x:c>
      <x:c r="E7" s="1" t="str">
        <x:v>M01 is the first fully funded operating month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</x:row>
    <x:row r="8" ht="22" customHeight="1">
      <x:c r="A8" s="1"/>
      <x:c r="B8" s="1"/>
      <x:c r="C8" s="1" t="str">
        <x:v>Opening unrestricted cash</x:v>
      </x:c>
      <x:c r="D8" s="10" t="n">
        <x:v>0</x:v>
      </x:c>
      <x:c r="E8" s="1" t="str">
        <x:v>Illustration; replace with bank balance and liabilities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</x:row>
    <x:row r="9" ht="22" customHeight="1">
      <x:c r="A9" s="1"/>
      <x:c r="B9" s="1"/>
      <x:c r="C9" s="1" t="str">
        <x:v>Annual listing price</x:v>
      </x:c>
      <x:c r="D9" s="10" t="n">
        <x:v>900</x:v>
      </x:c>
      <x:c r="E9" s="1" t="str">
        <x:v>Illustrative blended price within supplied EUR 300 to 5,000 range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</x:row>
    <x:row r="10" ht="22" customHeight="1">
      <x:c r="A10" s="1"/>
      <x:c r="B10" s="1"/>
      <x:c r="C10" s="1" t="str">
        <x:v>Annual listing renewal rate</x:v>
      </x:c>
      <x:c r="D10" s="11" t="n">
        <x:v>0.75</x:v>
      </x:c>
      <x:c r="E10" s="1" t="str">
        <x:v>Illustration; no observed renewal data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</x:row>
    <x:row r="11" ht="22" customHeight="1">
      <x:c r="A11" s="1"/>
      <x:c r="B11" s="1"/>
      <x:c r="C11" s="1" t="str">
        <x:v>Annual sponsorship price</x:v>
      </x:c>
      <x:c r="D11" s="10" t="n">
        <x:v>7500</x:v>
      </x:c>
      <x:c r="E11" s="1" t="str">
        <x:v>Illustrative midpoint of supplied EUR 5,000 to 10,000 range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</x:row>
    <x:row r="12" ht="22" customHeight="1">
      <x:c r="A12" s="1"/>
      <x:c r="B12" s="1"/>
      <x:c r="C12" s="1" t="str">
        <x:v>Annual sponsorship renewal rate</x:v>
      </x:c>
      <x:c r="D12" s="11" t="n">
        <x:v>0.7</x:v>
      </x:c>
      <x:c r="E12" s="1" t="str">
        <x:v>Illustration; no contracted sponsor renewals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</x:row>
    <x:row r="13" ht="22" customHeight="1">
      <x:c r="A13" s="1"/>
      <x:c r="B13" s="1"/>
      <x:c r="C13" s="1" t="str">
        <x:v>Maximum active category sponsors</x:v>
      </x:c>
      <x:c r="D13" s="10" t="n">
        <x:v>12</x:v>
      </x:c>
      <x:c r="E13" s="1" t="str">
        <x:v>Illustrative inventory; one sponsor per category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</x:row>
    <x:row r="14" ht="22" customHeight="1">
      <x:c r="A14" s="1"/>
      <x:c r="B14" s="1"/>
      <x:c r="C14" s="1" t="str">
        <x:v>Premium placement monthly price</x:v>
      </x:c>
      <x:c r="D14" s="10" t="n">
        <x:v>750</x:v>
      </x:c>
      <x:c r="E14" s="1" t="str">
        <x:v>Illustration within supplied EUR 500 to 1,500 range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</x:row>
    <x:row r="15" ht="22" customHeight="1">
      <x:c r="A15" s="1"/>
      <x:c r="B15" s="1"/>
      <x:c r="C15" s="1" t="str">
        <x:v>Premium placement monthly churn</x:v>
      </x:c>
      <x:c r="D15" s="11" t="n">
        <x:v>0.05</x:v>
      </x:c>
      <x:c r="E15" s="1" t="str">
        <x:v>Illustration; accounts are expected values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</x:row>
    <x:row r="16" ht="22" customHeight="1">
      <x:c r="A16" s="1"/>
      <x:c r="B16" s="1"/>
      <x:c r="C16" s="1" t="str">
        <x:v>Price per accepted lead</x:v>
      </x:c>
      <x:c r="D16" s="10" t="n">
        <x:v>40</x:v>
      </x:c>
      <x:c r="E16" s="1" t="str">
        <x:v>Illustration within supplied EUR 20 to 80 range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</x:row>
    <x:row r="17" ht="22" customHeight="1">
      <x:c r="A17" s="1"/>
      <x:c r="B17" s="1"/>
      <x:c r="C17" s="1" t="str">
        <x:v>Session to enquiry rate</x:v>
      </x:c>
      <x:c r="D17" s="11" t="n">
        <x:v>0.005</x:v>
      </x:c>
      <x:c r="E17" s="1" t="str">
        <x:v>Illustration; all sessions, not verified owners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</x:row>
    <x:row r="18" ht="22" customHeight="1">
      <x:c r="A18" s="1"/>
      <x:c r="B18" s="1"/>
      <x:c r="C18" s="1" t="str">
        <x:v>Valid enquiry share</x:v>
      </x:c>
      <x:c r="D18" s="11" t="n">
        <x:v>0.6</x:v>
      </x:c>
      <x:c r="E18" s="1" t="str">
        <x:v>Illustration; contact, consent and service need checks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</x:row>
    <x:row r="19" ht="22" customHeight="1">
      <x:c r="A19" s="1"/>
      <x:c r="B19" s="1"/>
      <x:c r="C19" s="1" t="str">
        <x:v>Valid enquiry sale share</x:v>
      </x:c>
      <x:c r="D19" s="11" t="n">
        <x:v>0.5</x:v>
      </x:c>
      <x:c r="E19" s="1" t="str">
        <x:v>Illustration; excludes regulated referrals until reviewed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</x:row>
    <x:row r="20" ht="22" customHeight="1">
      <x:c r="A20" s="1"/>
      <x:c r="B20" s="1"/>
      <x:c r="C20" s="1" t="str">
        <x:v>Monthly lead capacity per listing</x:v>
      </x:c>
      <x:c r="D20" s="10" t="n">
        <x:v>2</x:v>
      </x:c>
      <x:c r="E20" s="1" t="str">
        <x:v>Illustrative supplier demand cap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</x:row>
    <x:row r="21" ht="22" customHeight="1">
      <x:c r="A21" s="1"/>
      <x:c r="B21" s="1"/>
      <x:c r="C21" s="1" t="str">
        <x:v>Collection processing rate</x:v>
      </x:c>
      <x:c r="D21" s="11" t="n">
        <x:v>0.02</x:v>
      </x:c>
      <x:c r="E21" s="1" t="str">
        <x:v>Illustrative operating collection cost; not platform quote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</x:row>
    <x:row r="22" ht="22" customHeight="1">
      <x:c r="A22" s="1"/>
      <x:c r="B22" s="1"/>
      <x:c r="C22" s="1" t="str">
        <x:v>Delivery cost as share of revenue</x:v>
      </x:c>
      <x:c r="D22" s="11" t="n">
        <x:v>0.05</x:v>
      </x:c>
      <x:c r="E22" s="1" t="str">
        <x:v>Illustrative variable support and moderation cost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</x:row>
    <x:row r="23" ht="22" customHeight="1">
      <x:c r="A23" s="1"/>
      <x:c r="B23" s="1"/>
      <x:c r="C23" s="1" t="str">
        <x:v>Fixed fundraising and legal costs</x:v>
      </x:c>
      <x:c r="D23" s="10" t="n">
        <x:v>20000</x:v>
      </x:c>
      <x:c r="E23" s="1" t="str">
        <x:v>Illustrative quote allowance; paid at close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</x:row>
    <x:row r="24" ht="22" customHeight="1">
      <x:c r="A24" s="1"/>
      <x:c r="B24" s="1"/>
      <x:c r="C24" s="1" t="str">
        <x:v>Variable fundraising fee rate</x:v>
      </x:c>
      <x:c r="D24" s="11" t="n">
        <x:v>0.08</x:v>
      </x:c>
      <x:c r="E24" s="1" t="str">
        <x:v>Illustrative combined fee allowance; not platform quote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</x:row>
    <x:row r="25" ht="22" customHeight="1">
      <x:c r="A25" s="1"/>
      <x:c r="B25" s="1"/>
      <x:c r="C25" s="1" t="str">
        <x:v>Gross investment target</x:v>
      </x:c>
      <x:c r="D25" s="10" t="n">
        <x:v>850000</x:v>
      </x:c>
      <x:c r="E25" s="1" t="str">
        <x:v>Planning midpoint of founder EUR 700k to 1m range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</x:row>
    <x:row r="26" ht="22" customHeight="1">
      <x:c r="A26" s="1"/>
      <x:c r="B26" s="1"/>
      <x:c r="C26" s="1" t="str">
        <x:v>Minimum cash reserve</x:v>
      </x:c>
      <x:c r="D26" s="10" t="n">
        <x:v>75000</x:v>
      </x:c>
      <x:c r="E26" s="1" t="str">
        <x:v>Illustrative management reserve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</x:row>
    <x:row r="27" ht="22" customHeight="1">
      <x:c r="A27" s="1"/>
      <x:c r="B27" s="1"/>
      <x:c r="C27" s="1" t="str">
        <x:v>Founder monthly total employment cost</x:v>
      </x:c>
      <x:c r="D27" s="10" t="n">
        <x:v>6000</x:v>
      </x:c>
      <x:c r="E27" s="1" t="str">
        <x:v>Illustration; fully loaded, not agreed remuneration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</x:row>
    <x:row r="28" ht="22" customHeight="1">
      <x:c r="A28" s="1"/>
      <x:c r="B28" s="1"/>
      <x:c r="C28" s="1" t="str">
        <x:v>Editorial monthly total employment cost</x:v>
      </x:c>
      <x:c r="D28" s="10" t="n">
        <x:v>4000</x:v>
      </x:c>
      <x:c r="E28" s="1" t="str">
        <x:v>Illustration; fully loaded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</x:row>
    <x:row r="29" ht="22" customHeight="1">
      <x:c r="A29" s="1"/>
      <x:c r="B29" s="1"/>
      <x:c r="C29" s="1" t="str">
        <x:v>Sales monthly total employment cost</x:v>
      </x:c>
      <x:c r="D29" s="10" t="n">
        <x:v>4000</x:v>
      </x:c>
      <x:c r="E29" s="1" t="str">
        <x:v>Illustration; starts with paid listings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</x:row>
    <x:row r="30" ht="22" customHeight="1">
      <x:c r="A30" s="1"/>
      <x:c r="B30" s="1"/>
      <x:c r="C30" s="1" t="str">
        <x:v>Hosting and software monthly cost</x:v>
      </x:c>
      <x:c r="D30" s="10" t="n">
        <x:v>1000</x:v>
      </x:c>
      <x:c r="E30" s="1" t="str">
        <x:v>Illustration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</x:row>
    <x:row r="31" ht="22" customHeight="1">
      <x:c r="A31" s="1"/>
      <x:c r="B31" s="1"/>
      <x:c r="C31" s="1" t="str">
        <x:v>Administration monthly cost</x:v>
      </x:c>
      <x:c r="D31" s="10" t="n">
        <x:v>1000</x:v>
      </x:c>
      <x:c r="E31" s="1" t="str">
        <x:v>Illustration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</x:row>
    <x:row r="32" ht="22" customHeight="1">
      <x:c r="A32" s="1"/>
      <x:c r="B32" s="1"/>
      <x:c r="C32" s="1" t="str">
        <x:v>Insurance and accounting monthly cost</x:v>
      </x:c>
      <x:c r="D32" s="10" t="n">
        <x:v>1000</x:v>
      </x:c>
      <x:c r="E32" s="1" t="str">
        <x:v>Illustration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</x:row>
    <x:row r="33" ht="22" customHeight="1">
      <x:c r="A33" s="1"/>
      <x:c r="B33" s="1"/>
      <x:c r="C33" s="1" t="str">
        <x:v>Initial development cash budget</x:v>
      </x:c>
      <x:c r="D33" s="10" t="n">
        <x:v>90000</x:v>
      </x:c>
      <x:c r="E33" s="1" t="str">
        <x:v>Illustration; all expensed for planning, no capitalisation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</x:row>
    <x:row r="34" ht="22" customHeight="1">
      <x:c r="A34" s="1"/>
      <x:c r="B34" s="1"/>
      <x:c r="C34" s="1" t="str">
        <x:v>Initial development months</x:v>
      </x:c>
      <x:c r="D34" s="10" t="n">
        <x:v>6</x:v>
      </x:c>
      <x:c r="E34" s="1" t="str">
        <x:v>Illustration; paid evenly from M01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</x:row>
    <x:row r="35" ht="22" customHeight="1">
      <x:c r="A35" s="1"/>
      <x:c r="B35" s="1"/>
      <x:c r="C35" s="1" t="str">
        <x:v>Pre money valuation</x:v>
      </x:c>
      <x:c r="D35" s="10"/>
      <x:c r="E35" s="1" t="str">
        <x:v>Not set; requires founder, investor and platform agreement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</x:row>
    <x:row r="36" ht="22" customHeight="1">
      <x:c r="A36" s="1"/>
      <x:c r="B36" s="1"/>
      <x:c r="C36" s="1" t="str">
        <x:v>Existing fully diluted shares</x:v>
      </x:c>
      <x:c r="D36" s="10"/>
      <x:c r="E36" s="1" t="str">
        <x:v>Not supplied; include agreed option pool and convertibles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</x:row>
    <x:row r="37" ht="22" customHeight="1">
      <x:c r="A37" s="1"/>
      <x:c r="B37" s="1"/>
      <x:c r="C37" s="1" t="str">
        <x:v>Opening deferred revenue</x:v>
      </x:c>
      <x:c r="D37" s="10" t="n">
        <x:v>0</x:v>
      </x:c>
      <x:c r="E37" s="1" t="str">
        <x:v>Illustration; no existing annual subscriptions assumed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</x:row>
    <x:row r="38" ht="22" customHeight="1">
      <x:c r="A38" s="1"/>
      <x:c r="B38" s="1"/>
      <x:c r="C38" s="1" t="str">
        <x:v>Contingency spending rate</x:v>
      </x:c>
      <x:c r="D38" s="11" t="n">
        <x:v>0.1</x:v>
      </x:c>
      <x:c r="E38" s="1" t="str">
        <x:v>Applied as additional cash spending on opex and build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</x:row>
    <x:row r="39" ht="22" customHeight="1">
      <x:c r="A39" s="1"/>
      <x:c r="B39" s="1"/>
      <x:c r="C39" s="1" t="str">
        <x:v>Premium account share cap</x:v>
      </x:c>
      <x:c r="D39" s="11" t="n">
        <x:v>0.05</x:v>
      </x:c>
      <x:c r="E39" s="1" t="str">
        <x:v>Illustrative premium inventory as share of active listings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</x:row>
    <x:row r="40" ht="22" customHeight="1">
      <x:c r="A40" s="1"/>
      <x:c r="B40" s="1"/>
      <x:c r="C40" s="1" t="str">
        <x:v>Sponsorship launch month</x:v>
      </x:c>
      <x:c r="D40" s="10" t="n">
        <x:v>7</x:v>
      </x:c>
      <x:c r="E40" s="1" t="str">
        <x:v>Illustration; only unregulated categories in model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</x:row>
    <x:row r="41" ht="22" customHeight="1">
      <x:c r="A41" s="1"/>
      <x:c r="B41" s="1"/>
      <x:c r="C41" s="1" t="str">
        <x:v>Lead sales launch month</x:v>
      </x:c>
      <x:c r="D41" s="10" t="n">
        <x:v>10</x:v>
      </x:c>
      <x:c r="E41" s="1" t="str">
        <x:v>Illustration; activate after consent and supplier tests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</x:row>
    <x:row r="42" ht="22" customHeight="1">
      <x:c r="A42" s="1"/>
      <x:c r="B42" s="1"/>
      <x:c r="C42" s="1" t="str">
        <x:v>Premium placement launch month</x:v>
      </x:c>
      <x:c r="D42" s="10" t="n">
        <x:v>10</x:v>
      </x:c>
      <x:c r="E42" s="1" t="str">
        <x:v>Illustration; activate only after audience validation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</x:row>
    <x:row r="43" ht="22" customHeight="1">
      <x:c r="A43" s="1"/>
      <x:c r="B43" s="1"/>
      <x:c r="C43" s="1" t="str">
        <x:v>Paid listing launch month</x:v>
      </x:c>
      <x:c r="D43" s="10" t="n">
        <x:v>4</x:v>
      </x:c>
      <x:c r="E43" s="1" t="str">
        <x:v>Illustration; not an existing product claim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</x:row>
    <x:row r="46" ht="22" customHeight="1">
      <x:c r="A46" s="1"/>
      <x:c r="B46" s="1"/>
      <x:c r="C46" s="1" t="str">
        <x:v>Blue values are editable; yellow fields require founder review.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</x:row>
    <x:row r="47" ht="22" customHeight="1">
      <x:c r="A47" s="1"/>
      <x:c r="B47" s="1"/>
      <x:c r="C47" s="1" t="str">
        <x:v>All volumes, costs and rates are illustrations. No actual revenue or traction is supplied.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</x:row>
    <x:row r="48" ht="22" customHeight="1">
      <x:c r="A48" s="1"/>
      <x:c r="B48" s="1"/>
      <x:c r="C48" s="1" t="str">
        <x:v>Zero opening cash and customer cohorts are model assumptions, not statements of actual history.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</x:row>
    <x:row r="50" ht="27" customHeight="1">
      <x:c r="A50" s="1"/>
      <x:c r="B50" s="1"/>
      <x:c r="C50" s="7"/>
      <x:c r="D50" s="7" t="str">
        <x:v>M01</x:v>
      </x:c>
      <x:c r="E50" s="7" t="str">
        <x:v>M02</x:v>
      </x:c>
      <x:c r="F50" s="7" t="str">
        <x:v>M03</x:v>
      </x:c>
      <x:c r="G50" s="7" t="str">
        <x:v>M04</x:v>
      </x:c>
      <x:c r="H50" s="7" t="str">
        <x:v>M05</x:v>
      </x:c>
      <x:c r="I50" s="7" t="str">
        <x:v>M06</x:v>
      </x:c>
      <x:c r="J50" s="7" t="str">
        <x:v>M07</x:v>
      </x:c>
      <x:c r="K50" s="7" t="str">
        <x:v>M08</x:v>
      </x:c>
      <x:c r="L50" s="7" t="str">
        <x:v>M09</x:v>
      </x:c>
      <x:c r="M50" s="7" t="str">
        <x:v>M10</x:v>
      </x:c>
      <x:c r="N50" s="7" t="str">
        <x:v>M11</x:v>
      </x:c>
      <x:c r="O50" s="7" t="str">
        <x:v>M12</x:v>
      </x:c>
      <x:c r="P50" s="7" t="str">
        <x:v>M13</x:v>
      </x:c>
      <x:c r="Q50" s="7" t="str">
        <x:v>M14</x:v>
      </x:c>
      <x:c r="R50" s="7" t="str">
        <x:v>M15</x:v>
      </x:c>
      <x:c r="S50" s="7" t="str">
        <x:v>M16</x:v>
      </x:c>
      <x:c r="T50" s="7" t="str">
        <x:v>M17</x:v>
      </x:c>
      <x:c r="U50" s="7" t="str">
        <x:v>M18</x:v>
      </x:c>
      <x:c r="V50" s="7" t="str">
        <x:v>M19</x:v>
      </x:c>
      <x:c r="W50" s="7" t="str">
        <x:v>M20</x:v>
      </x:c>
      <x:c r="X50" s="7" t="str">
        <x:v>M21</x:v>
      </x:c>
      <x:c r="Y50" s="7" t="str">
        <x:v>M22</x:v>
      </x:c>
      <x:c r="Z50" s="7" t="str">
        <x:v>M23</x:v>
      </x:c>
      <x:c r="AA50" s="7" t="str">
        <x:v>M24</x:v>
      </x:c>
      <x:c r="AB50" s="7" t="str">
        <x:v>M25</x:v>
      </x:c>
      <x:c r="AC50" s="7" t="str">
        <x:v>M26</x:v>
      </x:c>
      <x:c r="AD50" s="7" t="str">
        <x:v>M27</x:v>
      </x:c>
      <x:c r="AE50" s="7" t="str">
        <x:v>M28</x:v>
      </x:c>
      <x:c r="AF50" s="7" t="str">
        <x:v>M29</x:v>
      </x:c>
      <x:c r="AG50" s="7" t="str">
        <x:v>M30</x:v>
      </x:c>
      <x:c r="AH50" s="7" t="str">
        <x:v>M31</x:v>
      </x:c>
      <x:c r="AI50" s="7" t="str">
        <x:v>M32</x:v>
      </x:c>
      <x:c r="AJ50" s="7" t="str">
        <x:v>M33</x:v>
      </x:c>
      <x:c r="AK50" s="7" t="str">
        <x:v>M34</x:v>
      </x:c>
      <x:c r="AL50" s="7" t="str">
        <x:v>M35</x:v>
      </x:c>
      <x:c r="AM50" s="7" t="str">
        <x:v>M36</x:v>
      </x:c>
    </x:row>
    <x:row r="51" ht="22" customHeight="1">
      <x:c r="A51" s="1"/>
      <x:c r="B51" s="1"/>
      <x:c r="C51" s="1" t="str">
        <x:v>New paid listings</x:v>
      </x:c>
      <x:c r="D51" s="10" t="n">
        <x:v>0</x:v>
      </x:c>
      <x:c r="E51" s="10" t="n">
        <x:v>0</x:v>
      </x:c>
      <x:c r="F51" s="10" t="n">
        <x:v>0</x:v>
      </x:c>
      <x:c r="G51" s="10" t="n">
        <x:v>8</x:v>
      </x:c>
      <x:c r="H51" s="10" t="n">
        <x:v>8</x:v>
      </x:c>
      <x:c r="I51" s="10" t="n">
        <x:v>8</x:v>
      </x:c>
      <x:c r="J51" s="10" t="n">
        <x:v>12</x:v>
      </x:c>
      <x:c r="K51" s="10" t="n">
        <x:v>12</x:v>
      </x:c>
      <x:c r="L51" s="10" t="n">
        <x:v>12</x:v>
      </x:c>
      <x:c r="M51" s="10" t="n">
        <x:v>12</x:v>
      </x:c>
      <x:c r="N51" s="10" t="n">
        <x:v>12</x:v>
      </x:c>
      <x:c r="O51" s="10" t="n">
        <x:v>12</x:v>
      </x:c>
      <x:c r="P51" s="10" t="n">
        <x:v>18</x:v>
      </x:c>
      <x:c r="Q51" s="10" t="n">
        <x:v>18</x:v>
      </x:c>
      <x:c r="R51" s="10" t="n">
        <x:v>18</x:v>
      </x:c>
      <x:c r="S51" s="10" t="n">
        <x:v>18</x:v>
      </x:c>
      <x:c r="T51" s="10" t="n">
        <x:v>18</x:v>
      </x:c>
      <x:c r="U51" s="10" t="n">
        <x:v>18</x:v>
      </x:c>
      <x:c r="V51" s="10" t="n">
        <x:v>18</x:v>
      </x:c>
      <x:c r="W51" s="10" t="n">
        <x:v>18</x:v>
      </x:c>
      <x:c r="X51" s="10" t="n">
        <x:v>18</x:v>
      </x:c>
      <x:c r="Y51" s="10" t="n">
        <x:v>18</x:v>
      </x:c>
      <x:c r="Z51" s="10" t="n">
        <x:v>18</x:v>
      </x:c>
      <x:c r="AA51" s="10" t="n">
        <x:v>18</x:v>
      </x:c>
      <x:c r="AB51" s="10" t="n">
        <x:v>25</x:v>
      </x:c>
      <x:c r="AC51" s="10" t="n">
        <x:v>25</x:v>
      </x:c>
      <x:c r="AD51" s="10" t="n">
        <x:v>25</x:v>
      </x:c>
      <x:c r="AE51" s="10" t="n">
        <x:v>25</x:v>
      </x:c>
      <x:c r="AF51" s="10" t="n">
        <x:v>25</x:v>
      </x:c>
      <x:c r="AG51" s="10" t="n">
        <x:v>25</x:v>
      </x:c>
      <x:c r="AH51" s="10" t="n">
        <x:v>25</x:v>
      </x:c>
      <x:c r="AI51" s="10" t="n">
        <x:v>25</x:v>
      </x:c>
      <x:c r="AJ51" s="10" t="n">
        <x:v>25</x:v>
      </x:c>
      <x:c r="AK51" s="10" t="n">
        <x:v>25</x:v>
      </x:c>
      <x:c r="AL51" s="10" t="n">
        <x:v>25</x:v>
      </x:c>
      <x:c r="AM51" s="10" t="n">
        <x:v>25</x:v>
      </x:c>
    </x:row>
    <x:row r="52" ht="22" customHeight="1">
      <x:c r="A52" s="1"/>
      <x:c r="B52" s="1"/>
      <x:c r="C52" s="1" t="str">
        <x:v>New annual sponsors</x:v>
      </x:c>
      <x:c r="D52" s="10" t="n">
        <x:v>0</x:v>
      </x:c>
      <x:c r="E52" s="10" t="n">
        <x:v>0</x:v>
      </x:c>
      <x:c r="F52" s="10" t="n">
        <x:v>0</x:v>
      </x:c>
      <x:c r="G52" s="10" t="n">
        <x:v>0</x:v>
      </x:c>
      <x:c r="H52" s="10" t="n">
        <x:v>0</x:v>
      </x:c>
      <x:c r="I52" s="10" t="n">
        <x:v>0</x:v>
      </x:c>
      <x:c r="J52" s="10" t="n">
        <x:v>1</x:v>
      </x:c>
      <x:c r="K52" s="10" t="n">
        <x:v>0</x:v>
      </x:c>
      <x:c r="L52" s="10" t="n">
        <x:v>0</x:v>
      </x:c>
      <x:c r="M52" s="10" t="n">
        <x:v>1</x:v>
      </x:c>
      <x:c r="N52" s="10" t="n">
        <x:v>0</x:v>
      </x:c>
      <x:c r="O52" s="10" t="n">
        <x:v>0</x:v>
      </x:c>
      <x:c r="P52" s="10" t="n">
        <x:v>0</x:v>
      </x:c>
      <x:c r="Q52" s="10" t="n">
        <x:v>0</x:v>
      </x:c>
      <x:c r="R52" s="10" t="n">
        <x:v>0</x:v>
      </x:c>
      <x:c r="S52" s="10" t="n">
        <x:v>1</x:v>
      </x:c>
      <x:c r="T52" s="10" t="n">
        <x:v>0</x:v>
      </x:c>
      <x:c r="U52" s="10" t="n">
        <x:v>0</x:v>
      </x:c>
      <x:c r="V52" s="10" t="n">
        <x:v>0</x:v>
      </x:c>
      <x:c r="W52" s="10" t="n">
        <x:v>0</x:v>
      </x:c>
      <x:c r="X52" s="10" t="n">
        <x:v>0</x:v>
      </x:c>
      <x:c r="Y52" s="10" t="n">
        <x:v>1</x:v>
      </x:c>
      <x:c r="Z52" s="10" t="n">
        <x:v>0</x:v>
      </x:c>
      <x:c r="AA52" s="10" t="n">
        <x:v>0</x:v>
      </x:c>
      <x:c r="AB52" s="10" t="n">
        <x:v>0</x:v>
      </x:c>
      <x:c r="AC52" s="10" t="n">
        <x:v>0</x:v>
      </x:c>
      <x:c r="AD52" s="10" t="n">
        <x:v>0</x:v>
      </x:c>
      <x:c r="AE52" s="10" t="n">
        <x:v>1</x:v>
      </x:c>
      <x:c r="AF52" s="10" t="n">
        <x:v>0</x:v>
      </x:c>
      <x:c r="AG52" s="10" t="n">
        <x:v>0</x:v>
      </x:c>
      <x:c r="AH52" s="10" t="n">
        <x:v>0</x:v>
      </x:c>
      <x:c r="AI52" s="10" t="n">
        <x:v>0</x:v>
      </x:c>
      <x:c r="AJ52" s="10" t="n">
        <x:v>0</x:v>
      </x:c>
      <x:c r="AK52" s="10" t="n">
        <x:v>1</x:v>
      </x:c>
      <x:c r="AL52" s="10" t="n">
        <x:v>0</x:v>
      </x:c>
      <x:c r="AM52" s="10" t="n">
        <x:v>0</x:v>
      </x:c>
    </x:row>
    <x:row r="53" ht="22" customHeight="1">
      <x:c r="A53" s="1"/>
      <x:c r="B53" s="1"/>
      <x:c r="C53" s="1" t="str">
        <x:v>Requested new premium accounts</x:v>
      </x:c>
      <x:c r="D53" s="10" t="n">
        <x:v>0</x:v>
      </x:c>
      <x:c r="E53" s="10" t="n">
        <x:v>0</x:v>
      </x:c>
      <x:c r="F53" s="10" t="n">
        <x:v>0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10" t="n">
        <x:v>1</x:v>
      </x:c>
      <x:c r="N53" s="10" t="n">
        <x:v>1</x:v>
      </x:c>
      <x:c r="O53" s="10" t="n">
        <x:v>1</x:v>
      </x:c>
      <x:c r="P53" s="10" t="n">
        <x:v>1</x:v>
      </x:c>
      <x:c r="Q53" s="10" t="n">
        <x:v>1</x:v>
      </x:c>
      <x:c r="R53" s="10" t="n">
        <x:v>1</x:v>
      </x:c>
      <x:c r="S53" s="10" t="n">
        <x:v>1</x:v>
      </x:c>
      <x:c r="T53" s="10" t="n">
        <x:v>1</x:v>
      </x:c>
      <x:c r="U53" s="10" t="n">
        <x:v>1</x:v>
      </x:c>
      <x:c r="V53" s="10" t="n">
        <x:v>1</x:v>
      </x:c>
      <x:c r="W53" s="10" t="n">
        <x:v>1</x:v>
      </x:c>
      <x:c r="X53" s="10" t="n">
        <x:v>1</x:v>
      </x:c>
      <x:c r="Y53" s="10" t="n">
        <x:v>1</x:v>
      </x:c>
      <x:c r="Z53" s="10" t="n">
        <x:v>1</x:v>
      </x:c>
      <x:c r="AA53" s="10" t="n">
        <x:v>1</x:v>
      </x:c>
      <x:c r="AB53" s="10" t="n">
        <x:v>1</x:v>
      </x:c>
      <x:c r="AC53" s="10" t="n">
        <x:v>1</x:v>
      </x:c>
      <x:c r="AD53" s="10" t="n">
        <x:v>1</x:v>
      </x:c>
      <x:c r="AE53" s="10" t="n">
        <x:v>1</x:v>
      </x:c>
      <x:c r="AF53" s="10" t="n">
        <x:v>1</x:v>
      </x:c>
      <x:c r="AG53" s="10" t="n">
        <x:v>1</x:v>
      </x:c>
      <x:c r="AH53" s="10" t="n">
        <x:v>1</x:v>
      </x:c>
      <x:c r="AI53" s="10" t="n">
        <x:v>1</x:v>
      </x:c>
      <x:c r="AJ53" s="10" t="n">
        <x:v>1</x:v>
      </x:c>
      <x:c r="AK53" s="10" t="n">
        <x:v>1</x:v>
      </x:c>
      <x:c r="AL53" s="10" t="n">
        <x:v>1</x:v>
      </x:c>
      <x:c r="AM53" s="10" t="n">
        <x:v>1</x:v>
      </x:c>
    </x:row>
    <x:row r="54" ht="22" customHeight="1">
      <x:c r="A54" s="1"/>
      <x:c r="B54" s="1"/>
      <x:c r="C54" s="1" t="str">
        <x:v>Website sessions</x:v>
      </x:c>
      <x:c r="D54" s="10" t="n">
        <x:v>2000</x:v>
      </x:c>
      <x:c r="E54" s="10" t="n">
        <x:v>2750</x:v>
      </x:c>
      <x:c r="F54" s="10" t="n">
        <x:v>3500</x:v>
      </x:c>
      <x:c r="G54" s="10" t="n">
        <x:v>4250</x:v>
      </x:c>
      <x:c r="H54" s="10" t="n">
        <x:v>5000</x:v>
      </x:c>
      <x:c r="I54" s="10" t="n">
        <x:v>5750</x:v>
      </x:c>
      <x:c r="J54" s="10" t="n">
        <x:v>6500</x:v>
      </x:c>
      <x:c r="K54" s="10" t="n">
        <x:v>7250</x:v>
      </x:c>
      <x:c r="L54" s="10" t="n">
        <x:v>8000</x:v>
      </x:c>
      <x:c r="M54" s="10" t="n">
        <x:v>8750</x:v>
      </x:c>
      <x:c r="N54" s="10" t="n">
        <x:v>9500</x:v>
      </x:c>
      <x:c r="O54" s="10" t="n">
        <x:v>10250</x:v>
      </x:c>
      <x:c r="P54" s="10" t="n">
        <x:v>11000</x:v>
      </x:c>
      <x:c r="Q54" s="10" t="n">
        <x:v>12500</x:v>
      </x:c>
      <x:c r="R54" s="10" t="n">
        <x:v>14000</x:v>
      </x:c>
      <x:c r="S54" s="10" t="n">
        <x:v>15500</x:v>
      </x:c>
      <x:c r="T54" s="10" t="n">
        <x:v>17000</x:v>
      </x:c>
      <x:c r="U54" s="10" t="n">
        <x:v>18500</x:v>
      </x:c>
      <x:c r="V54" s="10" t="n">
        <x:v>20000</x:v>
      </x:c>
      <x:c r="W54" s="10" t="n">
        <x:v>21500</x:v>
      </x:c>
      <x:c r="X54" s="10" t="n">
        <x:v>23000</x:v>
      </x:c>
      <x:c r="Y54" s="10" t="n">
        <x:v>24500</x:v>
      </x:c>
      <x:c r="Z54" s="10" t="n">
        <x:v>26000</x:v>
      </x:c>
      <x:c r="AA54" s="10" t="n">
        <x:v>27500</x:v>
      </x:c>
      <x:c r="AB54" s="10" t="n">
        <x:v>29000</x:v>
      </x:c>
      <x:c r="AC54" s="10" t="n">
        <x:v>31500</x:v>
      </x:c>
      <x:c r="AD54" s="10" t="n">
        <x:v>34000</x:v>
      </x:c>
      <x:c r="AE54" s="10" t="n">
        <x:v>36500</x:v>
      </x:c>
      <x:c r="AF54" s="10" t="n">
        <x:v>39000</x:v>
      </x:c>
      <x:c r="AG54" s="10" t="n">
        <x:v>41500</x:v>
      </x:c>
      <x:c r="AH54" s="10" t="n">
        <x:v>44000</x:v>
      </x:c>
      <x:c r="AI54" s="10" t="n">
        <x:v>46500</x:v>
      </x:c>
      <x:c r="AJ54" s="10" t="n">
        <x:v>49000</x:v>
      </x:c>
      <x:c r="AK54" s="10" t="n">
        <x:v>51500</x:v>
      </x:c>
      <x:c r="AL54" s="10" t="n">
        <x:v>54000</x:v>
      </x:c>
      <x:c r="AM54" s="10" t="n">
        <x:v>56500</x:v>
      </x:c>
    </x:row>
    <x:row r="55" ht="22" customHeight="1">
      <x:c r="A55" s="1"/>
      <x:c r="B55" s="1"/>
      <x:c r="C55" s="1" t="str">
        <x:v>Marketing cash cost</x:v>
      </x:c>
      <x:c r="D55" s="10" t="n">
        <x:v>2000</x:v>
      </x:c>
      <x:c r="E55" s="10" t="n">
        <x:v>2000</x:v>
      </x:c>
      <x:c r="F55" s="10" t="n">
        <x:v>2000</x:v>
      </x:c>
      <x:c r="G55" s="10" t="n">
        <x:v>4000</x:v>
      </x:c>
      <x:c r="H55" s="10" t="n">
        <x:v>4000</x:v>
      </x:c>
      <x:c r="I55" s="10" t="n">
        <x:v>4000</x:v>
      </x:c>
      <x:c r="J55" s="10" t="n">
        <x:v>4000</x:v>
      </x:c>
      <x:c r="K55" s="10" t="n">
        <x:v>4000</x:v>
      </x:c>
      <x:c r="L55" s="10" t="n">
        <x:v>4000</x:v>
      </x:c>
      <x:c r="M55" s="10" t="n">
        <x:v>4000</x:v>
      </x:c>
      <x:c r="N55" s="10" t="n">
        <x:v>4000</x:v>
      </x:c>
      <x:c r="O55" s="10" t="n">
        <x:v>4000</x:v>
      </x:c>
      <x:c r="P55" s="10" t="n">
        <x:v>6000</x:v>
      </x:c>
      <x:c r="Q55" s="10" t="n">
        <x:v>6000</x:v>
      </x:c>
      <x:c r="R55" s="10" t="n">
        <x:v>6000</x:v>
      </x:c>
      <x:c r="S55" s="10" t="n">
        <x:v>6000</x:v>
      </x:c>
      <x:c r="T55" s="10" t="n">
        <x:v>6000</x:v>
      </x:c>
      <x:c r="U55" s="10" t="n">
        <x:v>6000</x:v>
      </x:c>
      <x:c r="V55" s="10" t="n">
        <x:v>6000</x:v>
      </x:c>
      <x:c r="W55" s="10" t="n">
        <x:v>6000</x:v>
      </x:c>
      <x:c r="X55" s="10" t="n">
        <x:v>6000</x:v>
      </x:c>
      <x:c r="Y55" s="10" t="n">
        <x:v>6000</x:v>
      </x:c>
      <x:c r="Z55" s="10" t="n">
        <x:v>6000</x:v>
      </x:c>
      <x:c r="AA55" s="10" t="n">
        <x:v>6000</x:v>
      </x:c>
      <x:c r="AB55" s="10" t="n">
        <x:v>8000</x:v>
      </x:c>
      <x:c r="AC55" s="10" t="n">
        <x:v>8000</x:v>
      </x:c>
      <x:c r="AD55" s="10" t="n">
        <x:v>8000</x:v>
      </x:c>
      <x:c r="AE55" s="10" t="n">
        <x:v>8000</x:v>
      </x:c>
      <x:c r="AF55" s="10" t="n">
        <x:v>8000</x:v>
      </x:c>
      <x:c r="AG55" s="10" t="n">
        <x:v>8000</x:v>
      </x:c>
      <x:c r="AH55" s="10" t="n">
        <x:v>8000</x:v>
      </x:c>
      <x:c r="AI55" s="10" t="n">
        <x:v>8000</x:v>
      </x:c>
      <x:c r="AJ55" s="10" t="n">
        <x:v>8000</x:v>
      </x:c>
      <x:c r="AK55" s="10" t="n">
        <x:v>8000</x:v>
      </x:c>
      <x:c r="AL55" s="10" t="n">
        <x:v>8000</x:v>
      </x:c>
      <x:c r="AM55" s="10" t="n">
        <x:v>8000</x:v>
      </x:c>
    </x:row>
    <x:row r="56" ht="22" customHeight="1">
      <x:c r="A56" s="1"/>
      <x:c r="B56" s="1"/>
      <x:c r="C56" s="1" t="str">
        <x:v>Additional monthly team cost</x:v>
      </x:c>
      <x:c r="D56" s="10" t="n">
        <x:v>0</x:v>
      </x:c>
      <x:c r="E56" s="10" t="n">
        <x:v>0</x:v>
      </x:c>
      <x:c r="F56" s="10" t="n">
        <x:v>0</x:v>
      </x:c>
      <x:c r="G56" s="10" t="n">
        <x:v>0</x:v>
      </x:c>
      <x:c r="H56" s="10" t="n">
        <x:v>0</x:v>
      </x:c>
      <x:c r="I56" s="10" t="n">
        <x:v>0</x:v>
      </x:c>
      <x:c r="J56" s="10" t="n">
        <x:v>0</x:v>
      </x:c>
      <x:c r="K56" s="10" t="n">
        <x:v>0</x:v>
      </x:c>
      <x:c r="L56" s="10" t="n">
        <x:v>0</x:v>
      </x:c>
      <x:c r="M56" s="10" t="n">
        <x:v>0</x:v>
      </x:c>
      <x:c r="N56" s="10" t="n">
        <x:v>0</x:v>
      </x:c>
      <x:c r="O56" s="10" t="n">
        <x:v>0</x:v>
      </x:c>
      <x:c r="P56" s="10" t="n">
        <x:v>6000</x:v>
      </x:c>
      <x:c r="Q56" s="10" t="n">
        <x:v>6000</x:v>
      </x:c>
      <x:c r="R56" s="10" t="n">
        <x:v>6000</x:v>
      </x:c>
      <x:c r="S56" s="10" t="n">
        <x:v>6000</x:v>
      </x:c>
      <x:c r="T56" s="10" t="n">
        <x:v>6000</x:v>
      </x:c>
      <x:c r="U56" s="10" t="n">
        <x:v>6000</x:v>
      </x:c>
      <x:c r="V56" s="10" t="n">
        <x:v>6000</x:v>
      </x:c>
      <x:c r="W56" s="10" t="n">
        <x:v>6000</x:v>
      </x:c>
      <x:c r="X56" s="10" t="n">
        <x:v>6000</x:v>
      </x:c>
      <x:c r="Y56" s="10" t="n">
        <x:v>6000</x:v>
      </x:c>
      <x:c r="Z56" s="10" t="n">
        <x:v>6000</x:v>
      </x:c>
      <x:c r="AA56" s="10" t="n">
        <x:v>6000</x:v>
      </x:c>
      <x:c r="AB56" s="10" t="n">
        <x:v>12000</x:v>
      </x:c>
      <x:c r="AC56" s="10" t="n">
        <x:v>12000</x:v>
      </x:c>
      <x:c r="AD56" s="10" t="n">
        <x:v>12000</x:v>
      </x:c>
      <x:c r="AE56" s="10" t="n">
        <x:v>12000</x:v>
      </x:c>
      <x:c r="AF56" s="10" t="n">
        <x:v>12000</x:v>
      </x:c>
      <x:c r="AG56" s="10" t="n">
        <x:v>12000</x:v>
      </x:c>
      <x:c r="AH56" s="10" t="n">
        <x:v>12000</x:v>
      </x:c>
      <x:c r="AI56" s="10" t="n">
        <x:v>12000</x:v>
      </x:c>
      <x:c r="AJ56" s="10" t="n">
        <x:v>12000</x:v>
      </x:c>
      <x:c r="AK56" s="10" t="n">
        <x:v>12000</x:v>
      </x:c>
      <x:c r="AL56" s="10" t="n">
        <x:v>12000</x:v>
      </x:c>
      <x:c r="AM56" s="10" t="n">
        <x:v>12000</x:v>
      </x:c>
    </x:row>
    <x:row r="57" ht="22" customHeight="1">
      <x:c r="A57" s="1"/>
      <x:c r="B57" s="1"/>
      <x:c r="C57" s="1" t="str">
        <x:v>Development cash cost</x:v>
      </x:c>
      <x:c r="D57" s="26" t="n">
        <x:f>IF(1&lt;=$D$34,$D$33/$D$34,0)</x:f>
        <x:v>15000</x:v>
      </x:c>
      <x:c r="E57" s="26" t="n">
        <x:f>IF(2&lt;=$D$34,$D$33/$D$34,0)</x:f>
        <x:v>15000</x:v>
      </x:c>
      <x:c r="F57" s="26" t="n">
        <x:f>IF(3&lt;=$D$34,$D$33/$D$34,0)</x:f>
        <x:v>15000</x:v>
      </x:c>
      <x:c r="G57" s="26" t="n">
        <x:f>IF(4&lt;=$D$34,$D$33/$D$34,0)</x:f>
        <x:v>15000</x:v>
      </x:c>
      <x:c r="H57" s="26" t="n">
        <x:f>IF(5&lt;=$D$34,$D$33/$D$34,0)</x:f>
        <x:v>15000</x:v>
      </x:c>
      <x:c r="I57" s="26" t="n">
        <x:f>IF(6&lt;=$D$34,$D$33/$D$34,0)</x:f>
        <x:v>15000</x:v>
      </x:c>
      <x:c r="J57" s="26" t="n">
        <x:f>IF(7&lt;=$D$34,$D$33/$D$34,0)</x:f>
        <x:v>0</x:v>
      </x:c>
      <x:c r="K57" s="26" t="n">
        <x:f>IF(8&lt;=$D$34,$D$33/$D$34,0)</x:f>
        <x:v>0</x:v>
      </x:c>
      <x:c r="L57" s="26" t="n">
        <x:f>IF(9&lt;=$D$34,$D$33/$D$34,0)</x:f>
        <x:v>0</x:v>
      </x:c>
      <x:c r="M57" s="26" t="n">
        <x:f>IF(10&lt;=$D$34,$D$33/$D$34,0)</x:f>
        <x:v>0</x:v>
      </x:c>
      <x:c r="N57" s="26" t="n">
        <x:f>IF(11&lt;=$D$34,$D$33/$D$34,0)</x:f>
        <x:v>0</x:v>
      </x:c>
      <x:c r="O57" s="26" t="n">
        <x:f>IF(12&lt;=$D$34,$D$33/$D$34,0)</x:f>
        <x:v>0</x:v>
      </x:c>
      <x:c r="P57" s="26" t="n">
        <x:f>IF(13&lt;=$D$34,$D$33/$D$34,0)</x:f>
        <x:v>0</x:v>
      </x:c>
      <x:c r="Q57" s="26" t="n">
        <x:f>IF(14&lt;=$D$34,$D$33/$D$34,0)</x:f>
        <x:v>0</x:v>
      </x:c>
      <x:c r="R57" s="26" t="n">
        <x:f>IF(15&lt;=$D$34,$D$33/$D$34,0)</x:f>
        <x:v>0</x:v>
      </x:c>
      <x:c r="S57" s="26" t="n">
        <x:f>IF(16&lt;=$D$34,$D$33/$D$34,0)</x:f>
        <x:v>0</x:v>
      </x:c>
      <x:c r="T57" s="26" t="n">
        <x:f>IF(17&lt;=$D$34,$D$33/$D$34,0)</x:f>
        <x:v>0</x:v>
      </x:c>
      <x:c r="U57" s="26" t="n">
        <x:f>IF(18&lt;=$D$34,$D$33/$D$34,0)</x:f>
        <x:v>0</x:v>
      </x:c>
      <x:c r="V57" s="26" t="n">
        <x:f>IF(19&lt;=$D$34,$D$33/$D$34,0)</x:f>
        <x:v>0</x:v>
      </x:c>
      <x:c r="W57" s="26" t="n">
        <x:f>IF(20&lt;=$D$34,$D$33/$D$34,0)</x:f>
        <x:v>0</x:v>
      </x:c>
      <x:c r="X57" s="26" t="n">
        <x:f>IF(21&lt;=$D$34,$D$33/$D$34,0)</x:f>
        <x:v>0</x:v>
      </x:c>
      <x:c r="Y57" s="26" t="n">
        <x:f>IF(22&lt;=$D$34,$D$33/$D$34,0)</x:f>
        <x:v>0</x:v>
      </x:c>
      <x:c r="Z57" s="26" t="n">
        <x:f>IF(23&lt;=$D$34,$D$33/$D$34,0)</x:f>
        <x:v>0</x:v>
      </x:c>
      <x:c r="AA57" s="26" t="n">
        <x:f>IF(24&lt;=$D$34,$D$33/$D$34,0)</x:f>
        <x:v>0</x:v>
      </x:c>
      <x:c r="AB57" s="26" t="n">
        <x:f>IF(25&lt;=$D$34,$D$33/$D$34,0)</x:f>
        <x:v>0</x:v>
      </x:c>
      <x:c r="AC57" s="26" t="n">
        <x:f>IF(26&lt;=$D$34,$D$33/$D$34,0)</x:f>
        <x:v>0</x:v>
      </x:c>
      <x:c r="AD57" s="26" t="n">
        <x:f>IF(27&lt;=$D$34,$D$33/$D$34,0)</x:f>
        <x:v>0</x:v>
      </x:c>
      <x:c r="AE57" s="26" t="n">
        <x:f>IF(28&lt;=$D$34,$D$33/$D$34,0)</x:f>
        <x:v>0</x:v>
      </x:c>
      <x:c r="AF57" s="26" t="n">
        <x:f>IF(29&lt;=$D$34,$D$33/$D$34,0)</x:f>
        <x:v>0</x:v>
      </x:c>
      <x:c r="AG57" s="26" t="n">
        <x:f>IF(30&lt;=$D$34,$D$33/$D$34,0)</x:f>
        <x:v>0</x:v>
      </x:c>
      <x:c r="AH57" s="26" t="n">
        <x:f>IF(31&lt;=$D$34,$D$33/$D$34,0)</x:f>
        <x:v>0</x:v>
      </x:c>
      <x:c r="AI57" s="26" t="n">
        <x:f>IF(32&lt;=$D$34,$D$33/$D$34,0)</x:f>
        <x:v>0</x:v>
      </x:c>
      <x:c r="AJ57" s="26" t="n">
        <x:f>IF(33&lt;=$D$34,$D$33/$D$34,0)</x:f>
        <x:v>0</x:v>
      </x:c>
      <x:c r="AK57" s="26" t="n">
        <x:f>IF(34&lt;=$D$34,$D$33/$D$34,0)</x:f>
        <x:v>0</x:v>
      </x:c>
      <x:c r="AL57" s="26" t="n">
        <x:f>IF(35&lt;=$D$34,$D$33/$D$34,0)</x:f>
        <x:v>0</x:v>
      </x:c>
      <x:c r="AM57" s="26" t="n">
        <x:f>IF(36&lt;=$D$34,$D$33/$D$34,0)</x:f>
        <x:v>0</x:v>
      </x:c>
    </x:row>
    <x:row r="58" ht="22" customHeight="1">
      <x:c r="A58" s="1"/>
      <x:c r="B58" s="1"/>
      <x:c r="C58" s="1" t="str">
        <x:v>Other one off cash cost</x:v>
      </x:c>
      <x:c r="D58" s="10" t="n">
        <x:v>0</x:v>
      </x:c>
      <x:c r="E58" s="10" t="n">
        <x:v>0</x:v>
      </x:c>
      <x:c r="F58" s="10" t="n">
        <x:v>0</x:v>
      </x:c>
      <x:c r="G58" s="10" t="n">
        <x:v>0</x:v>
      </x:c>
      <x:c r="H58" s="10" t="n">
        <x:v>0</x:v>
      </x:c>
      <x:c r="I58" s="10" t="n">
        <x:v>0</x:v>
      </x:c>
      <x:c r="J58" s="10" t="n">
        <x:v>0</x:v>
      </x:c>
      <x:c r="K58" s="10" t="n">
        <x:v>0</x:v>
      </x:c>
      <x:c r="L58" s="10" t="n">
        <x:v>0</x:v>
      </x:c>
      <x:c r="M58" s="10" t="n">
        <x:v>0</x:v>
      </x:c>
      <x:c r="N58" s="10" t="n">
        <x:v>0</x:v>
      </x:c>
      <x:c r="O58" s="10" t="n">
        <x:v>0</x:v>
      </x:c>
      <x:c r="P58" s="10" t="n">
        <x:v>0</x:v>
      </x:c>
      <x:c r="Q58" s="10" t="n">
        <x:v>0</x:v>
      </x:c>
      <x:c r="R58" s="10" t="n">
        <x:v>0</x:v>
      </x:c>
      <x:c r="S58" s="10" t="n">
        <x:v>0</x:v>
      </x:c>
      <x:c r="T58" s="10" t="n">
        <x:v>0</x:v>
      </x:c>
      <x:c r="U58" s="10" t="n">
        <x:v>0</x:v>
      </x:c>
      <x:c r="V58" s="10" t="n">
        <x:v>0</x:v>
      </x:c>
      <x:c r="W58" s="10" t="n">
        <x:v>0</x:v>
      </x:c>
      <x:c r="X58" s="10" t="n">
        <x:v>0</x:v>
      </x:c>
      <x:c r="Y58" s="10" t="n">
        <x:v>0</x:v>
      </x:c>
      <x:c r="Z58" s="10" t="n">
        <x:v>0</x:v>
      </x:c>
      <x:c r="AA58" s="10" t="n">
        <x:v>0</x:v>
      </x:c>
      <x:c r="AB58" s="10" t="n">
        <x:v>0</x:v>
      </x:c>
      <x:c r="AC58" s="10" t="n">
        <x:v>0</x:v>
      </x:c>
      <x:c r="AD58" s="10" t="n">
        <x:v>0</x:v>
      </x:c>
      <x:c r="AE58" s="10" t="n">
        <x:v>0</x:v>
      </x:c>
      <x:c r="AF58" s="10" t="n">
        <x:v>0</x:v>
      </x:c>
      <x:c r="AG58" s="10" t="n">
        <x:v>0</x:v>
      </x:c>
      <x:c r="AH58" s="10" t="n">
        <x:v>0</x:v>
      </x:c>
      <x:c r="AI58" s="10" t="n">
        <x:v>0</x:v>
      </x:c>
      <x:c r="AJ58" s="10" t="n">
        <x:v>0</x:v>
      </x:c>
      <x:c r="AK58" s="10" t="n">
        <x:v>0</x:v>
      </x:c>
      <x:c r="AL58" s="10" t="n">
        <x:v>0</x:v>
      </x:c>
      <x:c r="AM58" s="10" t="n">
        <x:v>0</x:v>
      </x:c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</x:row>
  </x:sheetData>
  <x:dataValidations count="12">
    <x:dataValidation type="decimal" operator="between" sqref="D10">
      <x:formula1>0</x:formula1>
      <x:formula2>1</x:formula2>
    </x:dataValidation>
    <x:dataValidation type="decimal" operator="between" sqref="D12">
      <x:formula1>0</x:formula1>
      <x:formula2>1</x:formula2>
    </x:dataValidation>
    <x:dataValidation type="decimal" operator="between" sqref="D15">
      <x:formula1>0</x:formula1>
      <x:formula2>1</x:formula2>
    </x:dataValidation>
    <x:dataValidation type="decimal" operator="between" sqref="D17">
      <x:formula1>0</x:formula1>
      <x:formula2>1</x:formula2>
    </x:dataValidation>
    <x:dataValidation type="decimal" operator="between" sqref="D18">
      <x:formula1>0</x:formula1>
      <x:formula2>1</x:formula2>
    </x:dataValidation>
    <x:dataValidation type="decimal" operator="between" sqref="D19">
      <x:formula1>0</x:formula1>
      <x:formula2>1</x:formula2>
    </x:dataValidation>
    <x:dataValidation type="decimal" operator="between" sqref="D21">
      <x:formula1>0</x:formula1>
      <x:formula2>1</x:formula2>
    </x:dataValidation>
    <x:dataValidation type="decimal" operator="between" sqref="D22">
      <x:formula1>0</x:formula1>
      <x:formula2>1</x:formula2>
    </x:dataValidation>
    <x:dataValidation type="decimal" operator="between" sqref="D24">
      <x:formula1>0</x:formula1>
      <x:formula2>1</x:formula2>
    </x:dataValidation>
    <x:dataValidation type="decimal" operator="between" sqref="D38">
      <x:formula1>0</x:formula1>
      <x:formula2>1</x:formula2>
    </x:dataValidation>
    <x:dataValidation type="decimal" operator="between" sqref="D39">
      <x:formula1>0</x:formula1>
      <x:formula2>1</x:formula2>
    </x:dataValidation>
    <x:dataValidation type="decimal" operator="greaterThanOrEqual" sqref="D51:AM58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3C0CC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</x:row>
    <x:row r="2" ht="22" customHeight="1">
      <x:c r="A2" s="1"/>
      <x:c r="B2" s="1"/>
      <x:c r="C2" s="2" t="str">
        <x:v>Supercars.Tours forecast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</x:row>
    <x:row r="3" ht="27" customHeight="1">
      <x:c r="A3" s="1"/>
      <x:c r="B3" s="1"/>
      <x:c r="C3" s="3" t="str">
        <x:v>Illustrative plan | EUR | UK operations | 18 October 2026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</x:row>
    <x:row r="6" ht="27" customHeight="1">
      <x:c r="A6" s="1"/>
      <x:c r="B6" s="1"/>
      <x:c r="C6" s="7" t="str">
        <x:v>Operating month after funding</x:v>
      </x:c>
      <x:c r="D6" s="7" t="str">
        <x:v>M01</x:v>
      </x:c>
      <x:c r="E6" s="7" t="str">
        <x:v>M02</x:v>
      </x:c>
      <x:c r="F6" s="7" t="str">
        <x:v>M03</x:v>
      </x:c>
      <x:c r="G6" s="7" t="str">
        <x:v>M04</x:v>
      </x:c>
      <x:c r="H6" s="7" t="str">
        <x:v>M05</x:v>
      </x:c>
      <x:c r="I6" s="7" t="str">
        <x:v>M06</x:v>
      </x:c>
      <x:c r="J6" s="7" t="str">
        <x:v>M07</x:v>
      </x:c>
      <x:c r="K6" s="7" t="str">
        <x:v>M08</x:v>
      </x:c>
      <x:c r="L6" s="7" t="str">
        <x:v>M09</x:v>
      </x:c>
      <x:c r="M6" s="7" t="str">
        <x:v>M10</x:v>
      </x:c>
      <x:c r="N6" s="7" t="str">
        <x:v>M11</x:v>
      </x:c>
      <x:c r="O6" s="7" t="str">
        <x:v>M12</x:v>
      </x:c>
      <x:c r="P6" s="7" t="str">
        <x:v>M13</x:v>
      </x:c>
      <x:c r="Q6" s="7" t="str">
        <x:v>M14</x:v>
      </x:c>
      <x:c r="R6" s="7" t="str">
        <x:v>M15</x:v>
      </x:c>
      <x:c r="S6" s="7" t="str">
        <x:v>M16</x:v>
      </x:c>
      <x:c r="T6" s="7" t="str">
        <x:v>M17</x:v>
      </x:c>
      <x:c r="U6" s="7" t="str">
        <x:v>M18</x:v>
      </x:c>
      <x:c r="V6" s="7" t="str">
        <x:v>M19</x:v>
      </x:c>
      <x:c r="W6" s="7" t="str">
        <x:v>M20</x:v>
      </x:c>
      <x:c r="X6" s="7" t="str">
        <x:v>M21</x:v>
      </x:c>
      <x:c r="Y6" s="7" t="str">
        <x:v>M22</x:v>
      </x:c>
      <x:c r="Z6" s="7" t="str">
        <x:v>M23</x:v>
      </x:c>
      <x:c r="AA6" s="7" t="str">
        <x:v>M24</x:v>
      </x:c>
      <x:c r="AB6" s="7" t="str">
        <x:v>M25</x:v>
      </x:c>
      <x:c r="AC6" s="7" t="str">
        <x:v>M26</x:v>
      </x:c>
      <x:c r="AD6" s="7" t="str">
        <x:v>M27</x:v>
      </x:c>
      <x:c r="AE6" s="7" t="str">
        <x:v>M28</x:v>
      </x:c>
      <x:c r="AF6" s="7" t="str">
        <x:v>M29</x:v>
      </x:c>
      <x:c r="AG6" s="7" t="str">
        <x:v>M30</x:v>
      </x:c>
      <x:c r="AH6" s="7" t="str">
        <x:v>M31</x:v>
      </x:c>
      <x:c r="AI6" s="7" t="str">
        <x:v>M32</x:v>
      </x:c>
      <x:c r="AJ6" s="7" t="str">
        <x:v>M33</x:v>
      </x:c>
      <x:c r="AK6" s="7" t="str">
        <x:v>M34</x:v>
      </x:c>
      <x:c r="AL6" s="7" t="str">
        <x:v>M35</x:v>
      </x:c>
      <x:c r="AM6" s="7" t="str">
        <x:v>M36</x:v>
      </x:c>
    </x:row>
    <x:row r="7" ht="22" customHeight="1">
      <x:c r="A7" s="1"/>
      <x:c r="B7" s="1"/>
      <x:c r="C7" s="1" t="str">
        <x:v>Forecast year</x:v>
      </x:c>
      <x:c r="D7" s="12" t="n">
        <x:v>1</x:v>
      </x:c>
      <x:c r="E7" s="12" t="n">
        <x:v>1</x:v>
      </x:c>
      <x:c r="F7" s="12" t="n">
        <x:v>1</x:v>
      </x:c>
      <x:c r="G7" s="12" t="n">
        <x:v>1</x:v>
      </x:c>
      <x:c r="H7" s="12" t="n">
        <x:v>1</x:v>
      </x:c>
      <x:c r="I7" s="12" t="n">
        <x:v>1</x:v>
      </x:c>
      <x:c r="J7" s="12" t="n">
        <x:v>1</x:v>
      </x:c>
      <x:c r="K7" s="12" t="n">
        <x:v>1</x:v>
      </x:c>
      <x:c r="L7" s="12" t="n">
        <x:v>1</x:v>
      </x:c>
      <x:c r="M7" s="12" t="n">
        <x:v>1</x:v>
      </x:c>
      <x:c r="N7" s="12" t="n">
        <x:v>1</x:v>
      </x:c>
      <x:c r="O7" s="12" t="n">
        <x:v>1</x:v>
      </x:c>
      <x:c r="P7" s="12" t="n">
        <x:v>2</x:v>
      </x:c>
      <x:c r="Q7" s="12" t="n">
        <x:v>2</x:v>
      </x:c>
      <x:c r="R7" s="12" t="n">
        <x:v>2</x:v>
      </x:c>
      <x:c r="S7" s="12" t="n">
        <x:v>2</x:v>
      </x:c>
      <x:c r="T7" s="12" t="n">
        <x:v>2</x:v>
      </x:c>
      <x:c r="U7" s="12" t="n">
        <x:v>2</x:v>
      </x:c>
      <x:c r="V7" s="12" t="n">
        <x:v>2</x:v>
      </x:c>
      <x:c r="W7" s="12" t="n">
        <x:v>2</x:v>
      </x:c>
      <x:c r="X7" s="12" t="n">
        <x:v>2</x:v>
      </x:c>
      <x:c r="Y7" s="12" t="n">
        <x:v>2</x:v>
      </x:c>
      <x:c r="Z7" s="12" t="n">
        <x:v>2</x:v>
      </x:c>
      <x:c r="AA7" s="12" t="n">
        <x:v>2</x:v>
      </x:c>
      <x:c r="AB7" s="12" t="n">
        <x:v>3</x:v>
      </x:c>
      <x:c r="AC7" s="12" t="n">
        <x:v>3</x:v>
      </x:c>
      <x:c r="AD7" s="12" t="n">
        <x:v>3</x:v>
      </x:c>
      <x:c r="AE7" s="12" t="n">
        <x:v>3</x:v>
      </x:c>
      <x:c r="AF7" s="12" t="n">
        <x:v>3</x:v>
      </x:c>
      <x:c r="AG7" s="12" t="n">
        <x:v>3</x:v>
      </x:c>
      <x:c r="AH7" s="12" t="n">
        <x:v>3</x:v>
      </x:c>
      <x:c r="AI7" s="12" t="n">
        <x:v>3</x:v>
      </x:c>
      <x:c r="AJ7" s="12" t="n">
        <x:v>3</x:v>
      </x:c>
      <x:c r="AK7" s="12" t="n">
        <x:v>3</x:v>
      </x:c>
      <x:c r="AL7" s="12" t="n">
        <x:v>3</x:v>
      </x:c>
      <x:c r="AM7" s="12" t="n">
        <x:v>3</x:v>
      </x:c>
    </x:row>
    <x:row r="8" ht="22" customHeight="1">
      <x:c r="A8" s="1"/>
      <x:c r="B8" s="1"/>
      <x:c r="C8" s="1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2"/>
      <x:c r="AK8" s="12"/>
      <x:c r="AL8" s="12"/>
      <x:c r="AM8" s="12"/>
    </x:row>
    <x:row r="9" ht="22" customHeight="1">
      <x:c r="A9" s="1"/>
      <x:c r="B9" s="1"/>
      <x:c r="C9" s="1" t="str">
        <x:v>New paid listings</x:v>
      </x:c>
      <x:c r="D9" s="27" t="n">
        <x:f>IF(1&gt;='Assumptions'!$D$43,IF(ISNUMBER('Assumptions'!D51),'Assumptions'!D51,NA()),0)</x:f>
        <x:v>0</x:v>
      </x:c>
      <x:c r="E9" s="27" t="n">
        <x:f>IF(2&gt;='Assumptions'!$D$43,IF(ISNUMBER('Assumptions'!E51),'Assumptions'!E51,NA()),0)</x:f>
        <x:v>0</x:v>
      </x:c>
      <x:c r="F9" s="27" t="n">
        <x:f>IF(3&gt;='Assumptions'!$D$43,IF(ISNUMBER('Assumptions'!F51),'Assumptions'!F51,NA()),0)</x:f>
        <x:v>0</x:v>
      </x:c>
      <x:c r="G9" s="27" t="n">
        <x:f>IF(4&gt;='Assumptions'!$D$43,IF(ISNUMBER('Assumptions'!G51),'Assumptions'!G51,NA()),0)</x:f>
        <x:v>8</x:v>
      </x:c>
      <x:c r="H9" s="27" t="n">
        <x:f>IF(5&gt;='Assumptions'!$D$43,IF(ISNUMBER('Assumptions'!H51),'Assumptions'!H51,NA()),0)</x:f>
        <x:v>8</x:v>
      </x:c>
      <x:c r="I9" s="27" t="n">
        <x:f>IF(6&gt;='Assumptions'!$D$43,IF(ISNUMBER('Assumptions'!I51),'Assumptions'!I51,NA()),0)</x:f>
        <x:v>8</x:v>
      </x:c>
      <x:c r="J9" s="27" t="n">
        <x:f>IF(7&gt;='Assumptions'!$D$43,IF(ISNUMBER('Assumptions'!J51),'Assumptions'!J51,NA()),0)</x:f>
        <x:v>12</x:v>
      </x:c>
      <x:c r="K9" s="27" t="n">
        <x:f>IF(8&gt;='Assumptions'!$D$43,IF(ISNUMBER('Assumptions'!K51),'Assumptions'!K51,NA()),0)</x:f>
        <x:v>12</x:v>
      </x:c>
      <x:c r="L9" s="27" t="n">
        <x:f>IF(9&gt;='Assumptions'!$D$43,IF(ISNUMBER('Assumptions'!L51),'Assumptions'!L51,NA()),0)</x:f>
        <x:v>12</x:v>
      </x:c>
      <x:c r="M9" s="27" t="n">
        <x:f>IF(10&gt;='Assumptions'!$D$43,IF(ISNUMBER('Assumptions'!M51),'Assumptions'!M51,NA()),0)</x:f>
        <x:v>12</x:v>
      </x:c>
      <x:c r="N9" s="27" t="n">
        <x:f>IF(11&gt;='Assumptions'!$D$43,IF(ISNUMBER('Assumptions'!N51),'Assumptions'!N51,NA()),0)</x:f>
        <x:v>12</x:v>
      </x:c>
      <x:c r="O9" s="27" t="n">
        <x:f>IF(12&gt;='Assumptions'!$D$43,IF(ISNUMBER('Assumptions'!O51),'Assumptions'!O51,NA()),0)</x:f>
        <x:v>12</x:v>
      </x:c>
      <x:c r="P9" s="27" t="n">
        <x:f>IF(13&gt;='Assumptions'!$D$43,IF(ISNUMBER('Assumptions'!P51),'Assumptions'!P51,NA()),0)</x:f>
        <x:v>18</x:v>
      </x:c>
      <x:c r="Q9" s="27" t="n">
        <x:f>IF(14&gt;='Assumptions'!$D$43,IF(ISNUMBER('Assumptions'!Q51),'Assumptions'!Q51,NA()),0)</x:f>
        <x:v>18</x:v>
      </x:c>
      <x:c r="R9" s="27" t="n">
        <x:f>IF(15&gt;='Assumptions'!$D$43,IF(ISNUMBER('Assumptions'!R51),'Assumptions'!R51,NA()),0)</x:f>
        <x:v>18</x:v>
      </x:c>
      <x:c r="S9" s="27" t="n">
        <x:f>IF(16&gt;='Assumptions'!$D$43,IF(ISNUMBER('Assumptions'!S51),'Assumptions'!S51,NA()),0)</x:f>
        <x:v>18</x:v>
      </x:c>
      <x:c r="T9" s="27" t="n">
        <x:f>IF(17&gt;='Assumptions'!$D$43,IF(ISNUMBER('Assumptions'!T51),'Assumptions'!T51,NA()),0)</x:f>
        <x:v>18</x:v>
      </x:c>
      <x:c r="U9" s="27" t="n">
        <x:f>IF(18&gt;='Assumptions'!$D$43,IF(ISNUMBER('Assumptions'!U51),'Assumptions'!U51,NA()),0)</x:f>
        <x:v>18</x:v>
      </x:c>
      <x:c r="V9" s="27" t="n">
        <x:f>IF(19&gt;='Assumptions'!$D$43,IF(ISNUMBER('Assumptions'!V51),'Assumptions'!V51,NA()),0)</x:f>
        <x:v>18</x:v>
      </x:c>
      <x:c r="W9" s="27" t="n">
        <x:f>IF(20&gt;='Assumptions'!$D$43,IF(ISNUMBER('Assumptions'!W51),'Assumptions'!W51,NA()),0)</x:f>
        <x:v>18</x:v>
      </x:c>
      <x:c r="X9" s="27" t="n">
        <x:f>IF(21&gt;='Assumptions'!$D$43,IF(ISNUMBER('Assumptions'!X51),'Assumptions'!X51,NA()),0)</x:f>
        <x:v>18</x:v>
      </x:c>
      <x:c r="Y9" s="27" t="n">
        <x:f>IF(22&gt;='Assumptions'!$D$43,IF(ISNUMBER('Assumptions'!Y51),'Assumptions'!Y51,NA()),0)</x:f>
        <x:v>18</x:v>
      </x:c>
      <x:c r="Z9" s="27" t="n">
        <x:f>IF(23&gt;='Assumptions'!$D$43,IF(ISNUMBER('Assumptions'!Z51),'Assumptions'!Z51,NA()),0)</x:f>
        <x:v>18</x:v>
      </x:c>
      <x:c r="AA9" s="27" t="n">
        <x:f>IF(24&gt;='Assumptions'!$D$43,IF(ISNUMBER('Assumptions'!AA51),'Assumptions'!AA51,NA()),0)</x:f>
        <x:v>18</x:v>
      </x:c>
      <x:c r="AB9" s="27" t="n">
        <x:f>IF(25&gt;='Assumptions'!$D$43,IF(ISNUMBER('Assumptions'!AB51),'Assumptions'!AB51,NA()),0)</x:f>
        <x:v>25</x:v>
      </x:c>
      <x:c r="AC9" s="27" t="n">
        <x:f>IF(26&gt;='Assumptions'!$D$43,IF(ISNUMBER('Assumptions'!AC51),'Assumptions'!AC51,NA()),0)</x:f>
        <x:v>25</x:v>
      </x:c>
      <x:c r="AD9" s="27" t="n">
        <x:f>IF(27&gt;='Assumptions'!$D$43,IF(ISNUMBER('Assumptions'!AD51),'Assumptions'!AD51,NA()),0)</x:f>
        <x:v>25</x:v>
      </x:c>
      <x:c r="AE9" s="27" t="n">
        <x:f>IF(28&gt;='Assumptions'!$D$43,IF(ISNUMBER('Assumptions'!AE51),'Assumptions'!AE51,NA()),0)</x:f>
        <x:v>25</x:v>
      </x:c>
      <x:c r="AF9" s="27" t="n">
        <x:f>IF(29&gt;='Assumptions'!$D$43,IF(ISNUMBER('Assumptions'!AF51),'Assumptions'!AF51,NA()),0)</x:f>
        <x:v>25</x:v>
      </x:c>
      <x:c r="AG9" s="27" t="n">
        <x:f>IF(30&gt;='Assumptions'!$D$43,IF(ISNUMBER('Assumptions'!AG51),'Assumptions'!AG51,NA()),0)</x:f>
        <x:v>25</x:v>
      </x:c>
      <x:c r="AH9" s="27" t="n">
        <x:f>IF(31&gt;='Assumptions'!$D$43,IF(ISNUMBER('Assumptions'!AH51),'Assumptions'!AH51,NA()),0)</x:f>
        <x:v>25</x:v>
      </x:c>
      <x:c r="AI9" s="27" t="n">
        <x:f>IF(32&gt;='Assumptions'!$D$43,IF(ISNUMBER('Assumptions'!AI51),'Assumptions'!AI51,NA()),0)</x:f>
        <x:v>25</x:v>
      </x:c>
      <x:c r="AJ9" s="27" t="n">
        <x:f>IF(33&gt;='Assumptions'!$D$43,IF(ISNUMBER('Assumptions'!AJ51),'Assumptions'!AJ51,NA()),0)</x:f>
        <x:v>25</x:v>
      </x:c>
      <x:c r="AK9" s="27" t="n">
        <x:f>IF(34&gt;='Assumptions'!$D$43,IF(ISNUMBER('Assumptions'!AK51),'Assumptions'!AK51,NA()),0)</x:f>
        <x:v>25</x:v>
      </x:c>
      <x:c r="AL9" s="27" t="n">
        <x:f>IF(35&gt;='Assumptions'!$D$43,IF(ISNUMBER('Assumptions'!AL51),'Assumptions'!AL51,NA()),0)</x:f>
        <x:v>25</x:v>
      </x:c>
      <x:c r="AM9" s="27" t="n">
        <x:f>IF(36&gt;='Assumptions'!$D$43,IF(ISNUMBER('Assumptions'!AM51),'Assumptions'!AM51,NA()),0)</x:f>
        <x:v>25</x:v>
      </x:c>
    </x:row>
    <x:row r="10" ht="22" customHeight="1">
      <x:c r="A10" s="1"/>
      <x:c r="B10" s="1"/>
      <x:c r="C10" s="1" t="str">
        <x:v>Expiring annual listings</x:v>
      </x:c>
      <x:c r="D10" s="28" t="n">
        <x:f>0</x:f>
        <x:v>0</x:v>
      </x:c>
      <x:c r="E10" s="28" t="n">
        <x:f>0</x:f>
        <x:v>0</x:v>
      </x:c>
      <x:c r="F10" s="28" t="n">
        <x:f>0</x:f>
        <x:v>0</x:v>
      </x:c>
      <x:c r="G10" s="28" t="n">
        <x:f>0</x:f>
        <x:v>0</x:v>
      </x:c>
      <x:c r="H10" s="28" t="n">
        <x:f>0</x:f>
        <x:v>0</x:v>
      </x:c>
      <x:c r="I10" s="28" t="n">
        <x:f>0</x:f>
        <x:v>0</x:v>
      </x:c>
      <x:c r="J10" s="28" t="n">
        <x:f>0</x:f>
        <x:v>0</x:v>
      </x:c>
      <x:c r="K10" s="28" t="n">
        <x:f>0</x:f>
        <x:v>0</x:v>
      </x:c>
      <x:c r="L10" s="28" t="n">
        <x:f>0</x:f>
        <x:v>0</x:v>
      </x:c>
      <x:c r="M10" s="28" t="n">
        <x:f>0</x:f>
        <x:v>0</x:v>
      </x:c>
      <x:c r="N10" s="28" t="n">
        <x:f>0</x:f>
        <x:v>0</x:v>
      </x:c>
      <x:c r="O10" s="28" t="n">
        <x:f>0</x:f>
        <x:v>0</x:v>
      </x:c>
      <x:c r="P10" s="28" t="n">
        <x:f>D9+D11</x:f>
        <x:v>0</x:v>
      </x:c>
      <x:c r="Q10" s="28" t="n">
        <x:f>E9+E11</x:f>
        <x:v>0</x:v>
      </x:c>
      <x:c r="R10" s="28" t="n">
        <x:f>F9+F11</x:f>
        <x:v>0</x:v>
      </x:c>
      <x:c r="S10" s="28" t="n">
        <x:f>G9+G11</x:f>
        <x:v>8</x:v>
      </x:c>
      <x:c r="T10" s="28" t="n">
        <x:f>H9+H11</x:f>
        <x:v>8</x:v>
      </x:c>
      <x:c r="U10" s="28" t="n">
        <x:f>I9+I11</x:f>
        <x:v>8</x:v>
      </x:c>
      <x:c r="V10" s="28" t="n">
        <x:f>J9+J11</x:f>
        <x:v>12</x:v>
      </x:c>
      <x:c r="W10" s="28" t="n">
        <x:f>K9+K11</x:f>
        <x:v>12</x:v>
      </x:c>
      <x:c r="X10" s="28" t="n">
        <x:f>L9+L11</x:f>
        <x:v>12</x:v>
      </x:c>
      <x:c r="Y10" s="28" t="n">
        <x:f>M9+M11</x:f>
        <x:v>12</x:v>
      </x:c>
      <x:c r="Z10" s="28" t="n">
        <x:f>N9+N11</x:f>
        <x:v>12</x:v>
      </x:c>
      <x:c r="AA10" s="28" t="n">
        <x:f>O9+O11</x:f>
        <x:v>12</x:v>
      </x:c>
      <x:c r="AB10" s="28" t="n">
        <x:f>P9+P11</x:f>
        <x:v>18</x:v>
      </x:c>
      <x:c r="AC10" s="28" t="n">
        <x:f>Q9+Q11</x:f>
        <x:v>18</x:v>
      </x:c>
      <x:c r="AD10" s="28" t="n">
        <x:f>R9+R11</x:f>
        <x:v>18</x:v>
      </x:c>
      <x:c r="AE10" s="28" t="n">
        <x:f>S9+S11</x:f>
        <x:v>24</x:v>
      </x:c>
      <x:c r="AF10" s="28" t="n">
        <x:f>T9+T11</x:f>
        <x:v>24</x:v>
      </x:c>
      <x:c r="AG10" s="28" t="n">
        <x:f>U9+U11</x:f>
        <x:v>24</x:v>
      </x:c>
      <x:c r="AH10" s="28" t="n">
        <x:f>V9+V11</x:f>
        <x:v>27</x:v>
      </x:c>
      <x:c r="AI10" s="28" t="n">
        <x:f>W9+W11</x:f>
        <x:v>27</x:v>
      </x:c>
      <x:c r="AJ10" s="28" t="n">
        <x:f>X9+X11</x:f>
        <x:v>27</x:v>
      </x:c>
      <x:c r="AK10" s="28" t="n">
        <x:f>Y9+Y11</x:f>
        <x:v>27</x:v>
      </x:c>
      <x:c r="AL10" s="28" t="n">
        <x:f>Z9+Z11</x:f>
        <x:v>27</x:v>
      </x:c>
      <x:c r="AM10" s="28" t="n">
        <x:f>AA9+AA11</x:f>
        <x:v>27</x:v>
      </x:c>
    </x:row>
    <x:row r="11" ht="22" customHeight="1">
      <x:c r="A11" s="1"/>
      <x:c r="B11" s="1"/>
      <x:c r="C11" s="1" t="str">
        <x:v>Renewed annual listings</x:v>
      </x:c>
      <x:c r="D11" s="29" t="n">
        <x:f>D10*'Assumptions'!$D$10</x:f>
        <x:v>0</x:v>
      </x:c>
      <x:c r="E11" s="29" t="n">
        <x:f>E10*'Assumptions'!$D$10</x:f>
        <x:v>0</x:v>
      </x:c>
      <x:c r="F11" s="29" t="n">
        <x:f>F10*'Assumptions'!$D$10</x:f>
        <x:v>0</x:v>
      </x:c>
      <x:c r="G11" s="29" t="n">
        <x:f>G10*'Assumptions'!$D$10</x:f>
        <x:v>0</x:v>
      </x:c>
      <x:c r="H11" s="29" t="n">
        <x:f>H10*'Assumptions'!$D$10</x:f>
        <x:v>0</x:v>
      </x:c>
      <x:c r="I11" s="29" t="n">
        <x:f>I10*'Assumptions'!$D$10</x:f>
        <x:v>0</x:v>
      </x:c>
      <x:c r="J11" s="29" t="n">
        <x:f>J10*'Assumptions'!$D$10</x:f>
        <x:v>0</x:v>
      </x:c>
      <x:c r="K11" s="29" t="n">
        <x:f>K10*'Assumptions'!$D$10</x:f>
        <x:v>0</x:v>
      </x:c>
      <x:c r="L11" s="29" t="n">
        <x:f>L10*'Assumptions'!$D$10</x:f>
        <x:v>0</x:v>
      </x:c>
      <x:c r="M11" s="29" t="n">
        <x:f>M10*'Assumptions'!$D$10</x:f>
        <x:v>0</x:v>
      </x:c>
      <x:c r="N11" s="29" t="n">
        <x:f>N10*'Assumptions'!$D$10</x:f>
        <x:v>0</x:v>
      </x:c>
      <x:c r="O11" s="29" t="n">
        <x:f>O10*'Assumptions'!$D$10</x:f>
        <x:v>0</x:v>
      </x:c>
      <x:c r="P11" s="29" t="n">
        <x:f>P10*'Assumptions'!$D$10</x:f>
        <x:v>0</x:v>
      </x:c>
      <x:c r="Q11" s="29" t="n">
        <x:f>Q10*'Assumptions'!$D$10</x:f>
        <x:v>0</x:v>
      </x:c>
      <x:c r="R11" s="29" t="n">
        <x:f>R10*'Assumptions'!$D$10</x:f>
        <x:v>0</x:v>
      </x:c>
      <x:c r="S11" s="29" t="n">
        <x:f>S10*'Assumptions'!$D$10</x:f>
        <x:v>6</x:v>
      </x:c>
      <x:c r="T11" s="29" t="n">
        <x:f>T10*'Assumptions'!$D$10</x:f>
        <x:v>6</x:v>
      </x:c>
      <x:c r="U11" s="29" t="n">
        <x:f>U10*'Assumptions'!$D$10</x:f>
        <x:v>6</x:v>
      </x:c>
      <x:c r="V11" s="29" t="n">
        <x:f>V10*'Assumptions'!$D$10</x:f>
        <x:v>9</x:v>
      </x:c>
      <x:c r="W11" s="29" t="n">
        <x:f>W10*'Assumptions'!$D$10</x:f>
        <x:v>9</x:v>
      </x:c>
      <x:c r="X11" s="29" t="n">
        <x:f>X10*'Assumptions'!$D$10</x:f>
        <x:v>9</x:v>
      </x:c>
      <x:c r="Y11" s="29" t="n">
        <x:f>Y10*'Assumptions'!$D$10</x:f>
        <x:v>9</x:v>
      </x:c>
      <x:c r="Z11" s="29" t="n">
        <x:f>Z10*'Assumptions'!$D$10</x:f>
        <x:v>9</x:v>
      </x:c>
      <x:c r="AA11" s="29" t="n">
        <x:f>AA10*'Assumptions'!$D$10</x:f>
        <x:v>9</x:v>
      </x:c>
      <x:c r="AB11" s="29" t="n">
        <x:f>AB10*'Assumptions'!$D$10</x:f>
        <x:v>13.5</x:v>
      </x:c>
      <x:c r="AC11" s="29" t="n">
        <x:f>AC10*'Assumptions'!$D$10</x:f>
        <x:v>13.5</x:v>
      </x:c>
      <x:c r="AD11" s="29" t="n">
        <x:f>AD10*'Assumptions'!$D$10</x:f>
        <x:v>13.5</x:v>
      </x:c>
      <x:c r="AE11" s="29" t="n">
        <x:f>AE10*'Assumptions'!$D$10</x:f>
        <x:v>18</x:v>
      </x:c>
      <x:c r="AF11" s="29" t="n">
        <x:f>AF10*'Assumptions'!$D$10</x:f>
        <x:v>18</x:v>
      </x:c>
      <x:c r="AG11" s="29" t="n">
        <x:f>AG10*'Assumptions'!$D$10</x:f>
        <x:v>18</x:v>
      </x:c>
      <x:c r="AH11" s="29" t="n">
        <x:f>AH10*'Assumptions'!$D$10</x:f>
        <x:v>20.25</x:v>
      </x:c>
      <x:c r="AI11" s="29" t="n">
        <x:f>AI10*'Assumptions'!$D$10</x:f>
        <x:v>20.25</x:v>
      </x:c>
      <x:c r="AJ11" s="29" t="n">
        <x:f>AJ10*'Assumptions'!$D$10</x:f>
        <x:v>20.25</x:v>
      </x:c>
      <x:c r="AK11" s="29" t="n">
        <x:f>AK10*'Assumptions'!$D$10</x:f>
        <x:v>20.25</x:v>
      </x:c>
      <x:c r="AL11" s="29" t="n">
        <x:f>AL10*'Assumptions'!$D$10</x:f>
        <x:v>20.25</x:v>
      </x:c>
      <x:c r="AM11" s="29" t="n">
        <x:f>AM10*'Assumptions'!$D$10</x:f>
        <x:v>20.25</x:v>
      </x:c>
    </x:row>
    <x:row r="12" ht="22" customHeight="1">
      <x:c r="A12" s="1"/>
      <x:c r="B12" s="1"/>
      <x:c r="C12" s="1" t="str">
        <x:v>Active paid listings</x:v>
      </x:c>
      <x:c r="D12" s="30" t="n">
        <x:f>0+D9-D10+D11</x:f>
        <x:v>0</x:v>
      </x:c>
      <x:c r="E12" s="30" t="n">
        <x:f>D12+E9-E10+E11</x:f>
        <x:v>0</x:v>
      </x:c>
      <x:c r="F12" s="30" t="n">
        <x:f>E12+F9-F10+F11</x:f>
        <x:v>0</x:v>
      </x:c>
      <x:c r="G12" s="30" t="n">
        <x:f>F12+G9-G10+G11</x:f>
        <x:v>8</x:v>
      </x:c>
      <x:c r="H12" s="30" t="n">
        <x:f>G12+H9-H10+H11</x:f>
        <x:v>16</x:v>
      </x:c>
      <x:c r="I12" s="30" t="n">
        <x:f>H12+I9-I10+I11</x:f>
        <x:v>24</x:v>
      </x:c>
      <x:c r="J12" s="30" t="n">
        <x:f>I12+J9-J10+J11</x:f>
        <x:v>36</x:v>
      </x:c>
      <x:c r="K12" s="30" t="n">
        <x:f>J12+K9-K10+K11</x:f>
        <x:v>48</x:v>
      </x:c>
      <x:c r="L12" s="30" t="n">
        <x:f>K12+L9-L10+L11</x:f>
        <x:v>60</x:v>
      </x:c>
      <x:c r="M12" s="30" t="n">
        <x:f>L12+M9-M10+M11</x:f>
        <x:v>72</x:v>
      </x:c>
      <x:c r="N12" s="30" t="n">
        <x:f>M12+N9-N10+N11</x:f>
        <x:v>84</x:v>
      </x:c>
      <x:c r="O12" s="30" t="n">
        <x:f>N12+O9-O10+O11</x:f>
        <x:v>96</x:v>
      </x:c>
      <x:c r="P12" s="30" t="n">
        <x:f>O12+P9-P10+P11</x:f>
        <x:v>114</x:v>
      </x:c>
      <x:c r="Q12" s="30" t="n">
        <x:f>P12+Q9-Q10+Q11</x:f>
        <x:v>132</x:v>
      </x:c>
      <x:c r="R12" s="30" t="n">
        <x:f>Q12+R9-R10+R11</x:f>
        <x:v>150</x:v>
      </x:c>
      <x:c r="S12" s="30" t="n">
        <x:f>R12+S9-S10+S11</x:f>
        <x:v>166</x:v>
      </x:c>
      <x:c r="T12" s="30" t="n">
        <x:f>S12+T9-T10+T11</x:f>
        <x:v>182</x:v>
      </x:c>
      <x:c r="U12" s="30" t="n">
        <x:f>T12+U9-U10+U11</x:f>
        <x:v>198</x:v>
      </x:c>
      <x:c r="V12" s="30" t="n">
        <x:f>U12+V9-V10+V11</x:f>
        <x:v>213</x:v>
      </x:c>
      <x:c r="W12" s="30" t="n">
        <x:f>V12+W9-W10+W11</x:f>
        <x:v>228</x:v>
      </x:c>
      <x:c r="X12" s="30" t="n">
        <x:f>W12+X9-X10+X11</x:f>
        <x:v>243</x:v>
      </x:c>
      <x:c r="Y12" s="30" t="n">
        <x:f>X12+Y9-Y10+Y11</x:f>
        <x:v>258</x:v>
      </x:c>
      <x:c r="Z12" s="30" t="n">
        <x:f>Y12+Z9-Z10+Z11</x:f>
        <x:v>273</x:v>
      </x:c>
      <x:c r="AA12" s="30" t="n">
        <x:f>Z12+AA9-AA10+AA11</x:f>
        <x:v>288</x:v>
      </x:c>
      <x:c r="AB12" s="30" t="n">
        <x:f>AA12+AB9-AB10+AB11</x:f>
        <x:v>308.5</x:v>
      </x:c>
      <x:c r="AC12" s="30" t="n">
        <x:f>AB12+AC9-AC10+AC11</x:f>
        <x:v>329</x:v>
      </x:c>
      <x:c r="AD12" s="30" t="n">
        <x:f>AC12+AD9-AD10+AD11</x:f>
        <x:v>349.5</x:v>
      </x:c>
      <x:c r="AE12" s="30" t="n">
        <x:f>AD12+AE9-AE10+AE11</x:f>
        <x:v>368.5</x:v>
      </x:c>
      <x:c r="AF12" s="30" t="n">
        <x:f>AE12+AF9-AF10+AF11</x:f>
        <x:v>387.5</x:v>
      </x:c>
      <x:c r="AG12" s="30" t="n">
        <x:f>AF12+AG9-AG10+AG11</x:f>
        <x:v>406.5</x:v>
      </x:c>
      <x:c r="AH12" s="30" t="n">
        <x:f>AG12+AH9-AH10+AH11</x:f>
        <x:v>424.75</x:v>
      </x:c>
      <x:c r="AI12" s="30" t="n">
        <x:f>AH12+AI9-AI10+AI11</x:f>
        <x:v>443</x:v>
      </x:c>
      <x:c r="AJ12" s="30" t="n">
        <x:f>AI12+AJ9-AJ10+AJ11</x:f>
        <x:v>461.25</x:v>
      </x:c>
      <x:c r="AK12" s="30" t="n">
        <x:f>AJ12+AK9-AK10+AK11</x:f>
        <x:v>479.5</x:v>
      </x:c>
      <x:c r="AL12" s="30" t="n">
        <x:f>AK12+AL9-AL10+AL11</x:f>
        <x:v>497.75</x:v>
      </x:c>
      <x:c r="AM12" s="30" t="n">
        <x:f>AL12+AM9-AM10+AM11</x:f>
        <x:v>516</x:v>
      </x:c>
    </x:row>
    <x:row r="13" ht="22" customHeight="1">
      <x:c r="A13" s="1"/>
      <x:c r="B13" s="1"/>
      <x:c r="C13" s="1" t="str">
        <x:v>Listing recognised revenue</x:v>
      </x:c>
      <x:c r="D13" s="27" t="n">
        <x:f>D12*'Assumptions'!$D$9/12</x:f>
        <x:v>0</x:v>
      </x:c>
      <x:c r="E13" s="27" t="n">
        <x:f>E12*'Assumptions'!$D$9/12</x:f>
        <x:v>0</x:v>
      </x:c>
      <x:c r="F13" s="27" t="n">
        <x:f>F12*'Assumptions'!$D$9/12</x:f>
        <x:v>0</x:v>
      </x:c>
      <x:c r="G13" s="27" t="n">
        <x:f>G12*'Assumptions'!$D$9/12</x:f>
        <x:v>600</x:v>
      </x:c>
      <x:c r="H13" s="27" t="n">
        <x:f>H12*'Assumptions'!$D$9/12</x:f>
        <x:v>1200</x:v>
      </x:c>
      <x:c r="I13" s="27" t="n">
        <x:f>I12*'Assumptions'!$D$9/12</x:f>
        <x:v>1800</x:v>
      </x:c>
      <x:c r="J13" s="27" t="n">
        <x:f>J12*'Assumptions'!$D$9/12</x:f>
        <x:v>2700</x:v>
      </x:c>
      <x:c r="K13" s="27" t="n">
        <x:f>K12*'Assumptions'!$D$9/12</x:f>
        <x:v>3600</x:v>
      </x:c>
      <x:c r="L13" s="27" t="n">
        <x:f>L12*'Assumptions'!$D$9/12</x:f>
        <x:v>4500</x:v>
      </x:c>
      <x:c r="M13" s="27" t="n">
        <x:f>M12*'Assumptions'!$D$9/12</x:f>
        <x:v>5400</x:v>
      </x:c>
      <x:c r="N13" s="27" t="n">
        <x:f>N12*'Assumptions'!$D$9/12</x:f>
        <x:v>6300</x:v>
      </x:c>
      <x:c r="O13" s="27" t="n">
        <x:f>O12*'Assumptions'!$D$9/12</x:f>
        <x:v>7200</x:v>
      </x:c>
      <x:c r="P13" s="27" t="n">
        <x:f>P12*'Assumptions'!$D$9/12</x:f>
        <x:v>8550</x:v>
      </x:c>
      <x:c r="Q13" s="27" t="n">
        <x:f>Q12*'Assumptions'!$D$9/12</x:f>
        <x:v>9900</x:v>
      </x:c>
      <x:c r="R13" s="27" t="n">
        <x:f>R12*'Assumptions'!$D$9/12</x:f>
        <x:v>11250</x:v>
      </x:c>
      <x:c r="S13" s="27" t="n">
        <x:f>S12*'Assumptions'!$D$9/12</x:f>
        <x:v>12450</x:v>
      </x:c>
      <x:c r="T13" s="27" t="n">
        <x:f>T12*'Assumptions'!$D$9/12</x:f>
        <x:v>13650</x:v>
      </x:c>
      <x:c r="U13" s="27" t="n">
        <x:f>U12*'Assumptions'!$D$9/12</x:f>
        <x:v>14850</x:v>
      </x:c>
      <x:c r="V13" s="27" t="n">
        <x:f>V12*'Assumptions'!$D$9/12</x:f>
        <x:v>15975</x:v>
      </x:c>
      <x:c r="W13" s="27" t="n">
        <x:f>W12*'Assumptions'!$D$9/12</x:f>
        <x:v>17100</x:v>
      </x:c>
      <x:c r="X13" s="27" t="n">
        <x:f>X12*'Assumptions'!$D$9/12</x:f>
        <x:v>18225</x:v>
      </x:c>
      <x:c r="Y13" s="27" t="n">
        <x:f>Y12*'Assumptions'!$D$9/12</x:f>
        <x:v>19350</x:v>
      </x:c>
      <x:c r="Z13" s="27" t="n">
        <x:f>Z12*'Assumptions'!$D$9/12</x:f>
        <x:v>20475</x:v>
      </x:c>
      <x:c r="AA13" s="27" t="n">
        <x:f>AA12*'Assumptions'!$D$9/12</x:f>
        <x:v>21600</x:v>
      </x:c>
      <x:c r="AB13" s="27" t="n">
        <x:f>AB12*'Assumptions'!$D$9/12</x:f>
        <x:v>23137.5</x:v>
      </x:c>
      <x:c r="AC13" s="27" t="n">
        <x:f>AC12*'Assumptions'!$D$9/12</x:f>
        <x:v>24675</x:v>
      </x:c>
      <x:c r="AD13" s="27" t="n">
        <x:f>AD12*'Assumptions'!$D$9/12</x:f>
        <x:v>26212.5</x:v>
      </x:c>
      <x:c r="AE13" s="27" t="n">
        <x:f>AE12*'Assumptions'!$D$9/12</x:f>
        <x:v>27637.5</x:v>
      </x:c>
      <x:c r="AF13" s="27" t="n">
        <x:f>AF12*'Assumptions'!$D$9/12</x:f>
        <x:v>29062.5</x:v>
      </x:c>
      <x:c r="AG13" s="27" t="n">
        <x:f>AG12*'Assumptions'!$D$9/12</x:f>
        <x:v>30487.5</x:v>
      </x:c>
      <x:c r="AH13" s="27" t="n">
        <x:f>AH12*'Assumptions'!$D$9/12</x:f>
        <x:v>31856.25</x:v>
      </x:c>
      <x:c r="AI13" s="27" t="n">
        <x:f>AI12*'Assumptions'!$D$9/12</x:f>
        <x:v>33225</x:v>
      </x:c>
      <x:c r="AJ13" s="27" t="n">
        <x:f>AJ12*'Assumptions'!$D$9/12</x:f>
        <x:v>34593.75</x:v>
      </x:c>
      <x:c r="AK13" s="27" t="n">
        <x:f>AK12*'Assumptions'!$D$9/12</x:f>
        <x:v>35962.5</x:v>
      </x:c>
      <x:c r="AL13" s="27" t="n">
        <x:f>AL12*'Assumptions'!$D$9/12</x:f>
        <x:v>37331.25</x:v>
      </x:c>
      <x:c r="AM13" s="27" t="n">
        <x:f>AM12*'Assumptions'!$D$9/12</x:f>
        <x:v>38700</x:v>
      </x:c>
    </x:row>
    <x:row r="14" ht="22" customHeight="1">
      <x:c r="A14" s="1"/>
      <x:c r="B14" s="1"/>
      <x:c r="C14" s="1" t="str">
        <x:v>Listing cash collections</x:v>
      </x:c>
      <x:c r="D14" s="27" t="n">
        <x:f>(D9+D11)*'Assumptions'!$D$9</x:f>
        <x:v>0</x:v>
      </x:c>
      <x:c r="E14" s="27" t="n">
        <x:f>(E9+E11)*'Assumptions'!$D$9</x:f>
        <x:v>0</x:v>
      </x:c>
      <x:c r="F14" s="27" t="n">
        <x:f>(F9+F11)*'Assumptions'!$D$9</x:f>
        <x:v>0</x:v>
      </x:c>
      <x:c r="G14" s="27" t="n">
        <x:f>(G9+G11)*'Assumptions'!$D$9</x:f>
        <x:v>7200</x:v>
      </x:c>
      <x:c r="H14" s="27" t="n">
        <x:f>(H9+H11)*'Assumptions'!$D$9</x:f>
        <x:v>7200</x:v>
      </x:c>
      <x:c r="I14" s="27" t="n">
        <x:f>(I9+I11)*'Assumptions'!$D$9</x:f>
        <x:v>7200</x:v>
      </x:c>
      <x:c r="J14" s="27" t="n">
        <x:f>(J9+J11)*'Assumptions'!$D$9</x:f>
        <x:v>10800</x:v>
      </x:c>
      <x:c r="K14" s="27" t="n">
        <x:f>(K9+K11)*'Assumptions'!$D$9</x:f>
        <x:v>10800</x:v>
      </x:c>
      <x:c r="L14" s="27" t="n">
        <x:f>(L9+L11)*'Assumptions'!$D$9</x:f>
        <x:v>10800</x:v>
      </x:c>
      <x:c r="M14" s="27" t="n">
        <x:f>(M9+M11)*'Assumptions'!$D$9</x:f>
        <x:v>10800</x:v>
      </x:c>
      <x:c r="N14" s="27" t="n">
        <x:f>(N9+N11)*'Assumptions'!$D$9</x:f>
        <x:v>10800</x:v>
      </x:c>
      <x:c r="O14" s="27" t="n">
        <x:f>(O9+O11)*'Assumptions'!$D$9</x:f>
        <x:v>10800</x:v>
      </x:c>
      <x:c r="P14" s="27" t="n">
        <x:f>(P9+P11)*'Assumptions'!$D$9</x:f>
        <x:v>16200</x:v>
      </x:c>
      <x:c r="Q14" s="27" t="n">
        <x:f>(Q9+Q11)*'Assumptions'!$D$9</x:f>
        <x:v>16200</x:v>
      </x:c>
      <x:c r="R14" s="27" t="n">
        <x:f>(R9+R11)*'Assumptions'!$D$9</x:f>
        <x:v>16200</x:v>
      </x:c>
      <x:c r="S14" s="27" t="n">
        <x:f>(S9+S11)*'Assumptions'!$D$9</x:f>
        <x:v>21600</x:v>
      </x:c>
      <x:c r="T14" s="27" t="n">
        <x:f>(T9+T11)*'Assumptions'!$D$9</x:f>
        <x:v>21600</x:v>
      </x:c>
      <x:c r="U14" s="27" t="n">
        <x:f>(U9+U11)*'Assumptions'!$D$9</x:f>
        <x:v>21600</x:v>
      </x:c>
      <x:c r="V14" s="27" t="n">
        <x:f>(V9+V11)*'Assumptions'!$D$9</x:f>
        <x:v>24300</x:v>
      </x:c>
      <x:c r="W14" s="27" t="n">
        <x:f>(W9+W11)*'Assumptions'!$D$9</x:f>
        <x:v>24300</x:v>
      </x:c>
      <x:c r="X14" s="27" t="n">
        <x:f>(X9+X11)*'Assumptions'!$D$9</x:f>
        <x:v>24300</x:v>
      </x:c>
      <x:c r="Y14" s="27" t="n">
        <x:f>(Y9+Y11)*'Assumptions'!$D$9</x:f>
        <x:v>24300</x:v>
      </x:c>
      <x:c r="Z14" s="27" t="n">
        <x:f>(Z9+Z11)*'Assumptions'!$D$9</x:f>
        <x:v>24300</x:v>
      </x:c>
      <x:c r="AA14" s="27" t="n">
        <x:f>(AA9+AA11)*'Assumptions'!$D$9</x:f>
        <x:v>24300</x:v>
      </x:c>
      <x:c r="AB14" s="27" t="n">
        <x:f>(AB9+AB11)*'Assumptions'!$D$9</x:f>
        <x:v>34650</x:v>
      </x:c>
      <x:c r="AC14" s="27" t="n">
        <x:f>(AC9+AC11)*'Assumptions'!$D$9</x:f>
        <x:v>34650</x:v>
      </x:c>
      <x:c r="AD14" s="27" t="n">
        <x:f>(AD9+AD11)*'Assumptions'!$D$9</x:f>
        <x:v>34650</x:v>
      </x:c>
      <x:c r="AE14" s="27" t="n">
        <x:f>(AE9+AE11)*'Assumptions'!$D$9</x:f>
        <x:v>38700</x:v>
      </x:c>
      <x:c r="AF14" s="27" t="n">
        <x:f>(AF9+AF11)*'Assumptions'!$D$9</x:f>
        <x:v>38700</x:v>
      </x:c>
      <x:c r="AG14" s="27" t="n">
        <x:f>(AG9+AG11)*'Assumptions'!$D$9</x:f>
        <x:v>38700</x:v>
      </x:c>
      <x:c r="AH14" s="27" t="n">
        <x:f>(AH9+AH11)*'Assumptions'!$D$9</x:f>
        <x:v>40725</x:v>
      </x:c>
      <x:c r="AI14" s="27" t="n">
        <x:f>(AI9+AI11)*'Assumptions'!$D$9</x:f>
        <x:v>40725</x:v>
      </x:c>
      <x:c r="AJ14" s="27" t="n">
        <x:f>(AJ9+AJ11)*'Assumptions'!$D$9</x:f>
        <x:v>40725</x:v>
      </x:c>
      <x:c r="AK14" s="27" t="n">
        <x:f>(AK9+AK11)*'Assumptions'!$D$9</x:f>
        <x:v>40725</x:v>
      </x:c>
      <x:c r="AL14" s="27" t="n">
        <x:f>(AL9+AL11)*'Assumptions'!$D$9</x:f>
        <x:v>40725</x:v>
      </x:c>
      <x:c r="AM14" s="27" t="n">
        <x:f>(AM9+AM11)*'Assumptions'!$D$9</x:f>
        <x:v>40725</x:v>
      </x:c>
    </x:row>
    <x:row r="15" ht="22" customHeight="1">
      <x:c r="A15" s="1"/>
      <x:c r="B15" s="1"/>
      <x:c r="C15" s="1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  <x:c r="AG15" s="12"/>
      <x:c r="AH15" s="12"/>
      <x:c r="AI15" s="12"/>
      <x:c r="AJ15" s="12"/>
      <x:c r="AK15" s="12"/>
      <x:c r="AL15" s="12"/>
      <x:c r="AM15" s="12"/>
    </x:row>
    <x:row r="16" ht="22" customHeight="1">
      <x:c r="A16" s="1"/>
      <x:c r="B16" s="1"/>
      <x:c r="C16" s="1" t="str">
        <x:v>New annual sponsors</x:v>
      </x:c>
      <x:c r="D16" s="27" t="n">
        <x:f>IF(1&gt;='Assumptions'!$D$40,MIN(IF(ISNUMBER('Assumptions'!D52),'Assumptions'!D52,NA()),MAX(0,'Assumptions'!$D$13-(0)+D17-D18)),0)</x:f>
        <x:v>0</x:v>
      </x:c>
      <x:c r="E16" s="27" t="n">
        <x:f>IF(2&gt;='Assumptions'!$D$40,MIN(IF(ISNUMBER('Assumptions'!E52),'Assumptions'!E52,NA()),MAX(0,'Assumptions'!$D$13-(D19)+E17-E18)),0)</x:f>
        <x:v>0</x:v>
      </x:c>
      <x:c r="F16" s="27" t="n">
        <x:f>IF(3&gt;='Assumptions'!$D$40,MIN(IF(ISNUMBER('Assumptions'!F52),'Assumptions'!F52,NA()),MAX(0,'Assumptions'!$D$13-(E19)+F17-F18)),0)</x:f>
        <x:v>0</x:v>
      </x:c>
      <x:c r="G16" s="27" t="n">
        <x:f>IF(4&gt;='Assumptions'!$D$40,MIN(IF(ISNUMBER('Assumptions'!G52),'Assumptions'!G52,NA()),MAX(0,'Assumptions'!$D$13-(F19)+G17-G18)),0)</x:f>
        <x:v>0</x:v>
      </x:c>
      <x:c r="H16" s="27" t="n">
        <x:f>IF(5&gt;='Assumptions'!$D$40,MIN(IF(ISNUMBER('Assumptions'!H52),'Assumptions'!H52,NA()),MAX(0,'Assumptions'!$D$13-(G19)+H17-H18)),0)</x:f>
        <x:v>0</x:v>
      </x:c>
      <x:c r="I16" s="27" t="n">
        <x:f>IF(6&gt;='Assumptions'!$D$40,MIN(IF(ISNUMBER('Assumptions'!I52),'Assumptions'!I52,NA()),MAX(0,'Assumptions'!$D$13-(H19)+I17-I18)),0)</x:f>
        <x:v>0</x:v>
      </x:c>
      <x:c r="J16" s="27" t="n">
        <x:f>IF(7&gt;='Assumptions'!$D$40,MIN(IF(ISNUMBER('Assumptions'!J52),'Assumptions'!J52,NA()),MAX(0,'Assumptions'!$D$13-(I19)+J17-J18)),0)</x:f>
        <x:v>1</x:v>
      </x:c>
      <x:c r="K16" s="27" t="n">
        <x:f>IF(8&gt;='Assumptions'!$D$40,MIN(IF(ISNUMBER('Assumptions'!K52),'Assumptions'!K52,NA()),MAX(0,'Assumptions'!$D$13-(J19)+K17-K18)),0)</x:f>
        <x:v>0</x:v>
      </x:c>
      <x:c r="L16" s="27" t="n">
        <x:f>IF(9&gt;='Assumptions'!$D$40,MIN(IF(ISNUMBER('Assumptions'!L52),'Assumptions'!L52,NA()),MAX(0,'Assumptions'!$D$13-(K19)+L17-L18)),0)</x:f>
        <x:v>0</x:v>
      </x:c>
      <x:c r="M16" s="27" t="n">
        <x:f>IF(10&gt;='Assumptions'!$D$40,MIN(IF(ISNUMBER('Assumptions'!M52),'Assumptions'!M52,NA()),MAX(0,'Assumptions'!$D$13-(L19)+M17-M18)),0)</x:f>
        <x:v>1</x:v>
      </x:c>
      <x:c r="N16" s="27" t="n">
        <x:f>IF(11&gt;='Assumptions'!$D$40,MIN(IF(ISNUMBER('Assumptions'!N52),'Assumptions'!N52,NA()),MAX(0,'Assumptions'!$D$13-(M19)+N17-N18)),0)</x:f>
        <x:v>0</x:v>
      </x:c>
      <x:c r="O16" s="27" t="n">
        <x:f>IF(12&gt;='Assumptions'!$D$40,MIN(IF(ISNUMBER('Assumptions'!O52),'Assumptions'!O52,NA()),MAX(0,'Assumptions'!$D$13-(N19)+O17-O18)),0)</x:f>
        <x:v>0</x:v>
      </x:c>
      <x:c r="P16" s="27" t="n">
        <x:f>IF(13&gt;='Assumptions'!$D$40,MIN(IF(ISNUMBER('Assumptions'!P52),'Assumptions'!P52,NA()),MAX(0,'Assumptions'!$D$13-(O19)+P17-P18)),0)</x:f>
        <x:v>0</x:v>
      </x:c>
      <x:c r="Q16" s="27" t="n">
        <x:f>IF(14&gt;='Assumptions'!$D$40,MIN(IF(ISNUMBER('Assumptions'!Q52),'Assumptions'!Q52,NA()),MAX(0,'Assumptions'!$D$13-(P19)+Q17-Q18)),0)</x:f>
        <x:v>0</x:v>
      </x:c>
      <x:c r="R16" s="27" t="n">
        <x:f>IF(15&gt;='Assumptions'!$D$40,MIN(IF(ISNUMBER('Assumptions'!R52),'Assumptions'!R52,NA()),MAX(0,'Assumptions'!$D$13-(Q19)+R17-R18)),0)</x:f>
        <x:v>0</x:v>
      </x:c>
      <x:c r="S16" s="27" t="n">
        <x:f>IF(16&gt;='Assumptions'!$D$40,MIN(IF(ISNUMBER('Assumptions'!S52),'Assumptions'!S52,NA()),MAX(0,'Assumptions'!$D$13-(R19)+S17-S18)),0)</x:f>
        <x:v>1</x:v>
      </x:c>
      <x:c r="T16" s="27" t="n">
        <x:f>IF(17&gt;='Assumptions'!$D$40,MIN(IF(ISNUMBER('Assumptions'!T52),'Assumptions'!T52,NA()),MAX(0,'Assumptions'!$D$13-(S19)+T17-T18)),0)</x:f>
        <x:v>0</x:v>
      </x:c>
      <x:c r="U16" s="27" t="n">
        <x:f>IF(18&gt;='Assumptions'!$D$40,MIN(IF(ISNUMBER('Assumptions'!U52),'Assumptions'!U52,NA()),MAX(0,'Assumptions'!$D$13-(T19)+U17-U18)),0)</x:f>
        <x:v>0</x:v>
      </x:c>
      <x:c r="V16" s="27" t="n">
        <x:f>IF(19&gt;='Assumptions'!$D$40,MIN(IF(ISNUMBER('Assumptions'!V52),'Assumptions'!V52,NA()),MAX(0,'Assumptions'!$D$13-(U19)+V17-V18)),0)</x:f>
        <x:v>0</x:v>
      </x:c>
      <x:c r="W16" s="27" t="n">
        <x:f>IF(20&gt;='Assumptions'!$D$40,MIN(IF(ISNUMBER('Assumptions'!W52),'Assumptions'!W52,NA()),MAX(0,'Assumptions'!$D$13-(V19)+W17-W18)),0)</x:f>
        <x:v>0</x:v>
      </x:c>
      <x:c r="X16" s="27" t="n">
        <x:f>IF(21&gt;='Assumptions'!$D$40,MIN(IF(ISNUMBER('Assumptions'!X52),'Assumptions'!X52,NA()),MAX(0,'Assumptions'!$D$13-(W19)+X17-X18)),0)</x:f>
        <x:v>0</x:v>
      </x:c>
      <x:c r="Y16" s="27" t="n">
        <x:f>IF(22&gt;='Assumptions'!$D$40,MIN(IF(ISNUMBER('Assumptions'!Y52),'Assumptions'!Y52,NA()),MAX(0,'Assumptions'!$D$13-(X19)+Y17-Y18)),0)</x:f>
        <x:v>1</x:v>
      </x:c>
      <x:c r="Z16" s="27" t="n">
        <x:f>IF(23&gt;='Assumptions'!$D$40,MIN(IF(ISNUMBER('Assumptions'!Z52),'Assumptions'!Z52,NA()),MAX(0,'Assumptions'!$D$13-(Y19)+Z17-Z18)),0)</x:f>
        <x:v>0</x:v>
      </x:c>
      <x:c r="AA16" s="27" t="n">
        <x:f>IF(24&gt;='Assumptions'!$D$40,MIN(IF(ISNUMBER('Assumptions'!AA52),'Assumptions'!AA52,NA()),MAX(0,'Assumptions'!$D$13-(Z19)+AA17-AA18)),0)</x:f>
        <x:v>0</x:v>
      </x:c>
      <x:c r="AB16" s="27" t="n">
        <x:f>IF(25&gt;='Assumptions'!$D$40,MIN(IF(ISNUMBER('Assumptions'!AB52),'Assumptions'!AB52,NA()),MAX(0,'Assumptions'!$D$13-(AA19)+AB17-AB18)),0)</x:f>
        <x:v>0</x:v>
      </x:c>
      <x:c r="AC16" s="27" t="n">
        <x:f>IF(26&gt;='Assumptions'!$D$40,MIN(IF(ISNUMBER('Assumptions'!AC52),'Assumptions'!AC52,NA()),MAX(0,'Assumptions'!$D$13-(AB19)+AC17-AC18)),0)</x:f>
        <x:v>0</x:v>
      </x:c>
      <x:c r="AD16" s="27" t="n">
        <x:f>IF(27&gt;='Assumptions'!$D$40,MIN(IF(ISNUMBER('Assumptions'!AD52),'Assumptions'!AD52,NA()),MAX(0,'Assumptions'!$D$13-(AC19)+AD17-AD18)),0)</x:f>
        <x:v>0</x:v>
      </x:c>
      <x:c r="AE16" s="27" t="n">
        <x:f>IF(28&gt;='Assumptions'!$D$40,MIN(IF(ISNUMBER('Assumptions'!AE52),'Assumptions'!AE52,NA()),MAX(0,'Assumptions'!$D$13-(AD19)+AE17-AE18)),0)</x:f>
        <x:v>1</x:v>
      </x:c>
      <x:c r="AF16" s="27" t="n">
        <x:f>IF(29&gt;='Assumptions'!$D$40,MIN(IF(ISNUMBER('Assumptions'!AF52),'Assumptions'!AF52,NA()),MAX(0,'Assumptions'!$D$13-(AE19)+AF17-AF18)),0)</x:f>
        <x:v>0</x:v>
      </x:c>
      <x:c r="AG16" s="27" t="n">
        <x:f>IF(30&gt;='Assumptions'!$D$40,MIN(IF(ISNUMBER('Assumptions'!AG52),'Assumptions'!AG52,NA()),MAX(0,'Assumptions'!$D$13-(AF19)+AG17-AG18)),0)</x:f>
        <x:v>0</x:v>
      </x:c>
      <x:c r="AH16" s="27" t="n">
        <x:f>IF(31&gt;='Assumptions'!$D$40,MIN(IF(ISNUMBER('Assumptions'!AH52),'Assumptions'!AH52,NA()),MAX(0,'Assumptions'!$D$13-(AG19)+AH17-AH18)),0)</x:f>
        <x:v>0</x:v>
      </x:c>
      <x:c r="AI16" s="27" t="n">
        <x:f>IF(32&gt;='Assumptions'!$D$40,MIN(IF(ISNUMBER('Assumptions'!AI52),'Assumptions'!AI52,NA()),MAX(0,'Assumptions'!$D$13-(AH19)+AI17-AI18)),0)</x:f>
        <x:v>0</x:v>
      </x:c>
      <x:c r="AJ16" s="27" t="n">
        <x:f>IF(33&gt;='Assumptions'!$D$40,MIN(IF(ISNUMBER('Assumptions'!AJ52),'Assumptions'!AJ52,NA()),MAX(0,'Assumptions'!$D$13-(AI19)+AJ17-AJ18)),0)</x:f>
        <x:v>0</x:v>
      </x:c>
      <x:c r="AK16" s="27" t="n">
        <x:f>IF(34&gt;='Assumptions'!$D$40,MIN(IF(ISNUMBER('Assumptions'!AK52),'Assumptions'!AK52,NA()),MAX(0,'Assumptions'!$D$13-(AJ19)+AK17-AK18)),0)</x:f>
        <x:v>1</x:v>
      </x:c>
      <x:c r="AL16" s="27" t="n">
        <x:f>IF(35&gt;='Assumptions'!$D$40,MIN(IF(ISNUMBER('Assumptions'!AL52),'Assumptions'!AL52,NA()),MAX(0,'Assumptions'!$D$13-(AK19)+AL17-AL18)),0)</x:f>
        <x:v>0</x:v>
      </x:c>
      <x:c r="AM16" s="27" t="n">
        <x:f>IF(36&gt;='Assumptions'!$D$40,MIN(IF(ISNUMBER('Assumptions'!AM52),'Assumptions'!AM52,NA()),MAX(0,'Assumptions'!$D$13-(AL19)+AM17-AM18)),0)</x:f>
        <x:v>0</x:v>
      </x:c>
    </x:row>
    <x:row r="17" ht="22" customHeight="1">
      <x:c r="A17" s="1"/>
      <x:c r="B17" s="1"/>
      <x:c r="C17" s="1" t="str">
        <x:v>Expiring annual sponsors</x:v>
      </x:c>
      <x:c r="D17" s="28" t="n">
        <x:f>0</x:f>
        <x:v>0</x:v>
      </x:c>
      <x:c r="E17" s="28" t="n">
        <x:f>0</x:f>
        <x:v>0</x:v>
      </x:c>
      <x:c r="F17" s="28" t="n">
        <x:f>0</x:f>
        <x:v>0</x:v>
      </x:c>
      <x:c r="G17" s="28" t="n">
        <x:f>0</x:f>
        <x:v>0</x:v>
      </x:c>
      <x:c r="H17" s="28" t="n">
        <x:f>0</x:f>
        <x:v>0</x:v>
      </x:c>
      <x:c r="I17" s="28" t="n">
        <x:f>0</x:f>
        <x:v>0</x:v>
      </x:c>
      <x:c r="J17" s="28" t="n">
        <x:f>0</x:f>
        <x:v>0</x:v>
      </x:c>
      <x:c r="K17" s="28" t="n">
        <x:f>0</x:f>
        <x:v>0</x:v>
      </x:c>
      <x:c r="L17" s="28" t="n">
        <x:f>0</x:f>
        <x:v>0</x:v>
      </x:c>
      <x:c r="M17" s="28" t="n">
        <x:f>0</x:f>
        <x:v>0</x:v>
      </x:c>
      <x:c r="N17" s="28" t="n">
        <x:f>0</x:f>
        <x:v>0</x:v>
      </x:c>
      <x:c r="O17" s="28" t="n">
        <x:f>0</x:f>
        <x:v>0</x:v>
      </x:c>
      <x:c r="P17" s="28" t="n">
        <x:f>D16+D18</x:f>
        <x:v>0</x:v>
      </x:c>
      <x:c r="Q17" s="28" t="n">
        <x:f>E16+E18</x:f>
        <x:v>0</x:v>
      </x:c>
      <x:c r="R17" s="28" t="n">
        <x:f>F16+F18</x:f>
        <x:v>0</x:v>
      </x:c>
      <x:c r="S17" s="28" t="n">
        <x:f>G16+G18</x:f>
        <x:v>0</x:v>
      </x:c>
      <x:c r="T17" s="28" t="n">
        <x:f>H16+H18</x:f>
        <x:v>0</x:v>
      </x:c>
      <x:c r="U17" s="28" t="n">
        <x:f>I16+I18</x:f>
        <x:v>0</x:v>
      </x:c>
      <x:c r="V17" s="28" t="n">
        <x:f>J16+J18</x:f>
        <x:v>1</x:v>
      </x:c>
      <x:c r="W17" s="28" t="n">
        <x:f>K16+K18</x:f>
        <x:v>0</x:v>
      </x:c>
      <x:c r="X17" s="28" t="n">
        <x:f>L16+L18</x:f>
        <x:v>0</x:v>
      </x:c>
      <x:c r="Y17" s="28" t="n">
        <x:f>M16+M18</x:f>
        <x:v>1</x:v>
      </x:c>
      <x:c r="Z17" s="28" t="n">
        <x:f>N16+N18</x:f>
        <x:v>0</x:v>
      </x:c>
      <x:c r="AA17" s="28" t="n">
        <x:f>O16+O18</x:f>
        <x:v>0</x:v>
      </x:c>
      <x:c r="AB17" s="28" t="n">
        <x:f>P16+P18</x:f>
        <x:v>0</x:v>
      </x:c>
      <x:c r="AC17" s="28" t="n">
        <x:f>Q16+Q18</x:f>
        <x:v>0</x:v>
      </x:c>
      <x:c r="AD17" s="28" t="n">
        <x:f>R16+R18</x:f>
        <x:v>0</x:v>
      </x:c>
      <x:c r="AE17" s="28" t="n">
        <x:f>S16+S18</x:f>
        <x:v>1</x:v>
      </x:c>
      <x:c r="AF17" s="28" t="n">
        <x:f>T16+T18</x:f>
        <x:v>0</x:v>
      </x:c>
      <x:c r="AG17" s="28" t="n">
        <x:f>U16+U18</x:f>
        <x:v>0</x:v>
      </x:c>
      <x:c r="AH17" s="28" t="n">
        <x:f>V16+V18</x:f>
        <x:v>0.7</x:v>
      </x:c>
      <x:c r="AI17" s="28" t="n">
        <x:f>W16+W18</x:f>
        <x:v>0</x:v>
      </x:c>
      <x:c r="AJ17" s="28" t="n">
        <x:f>X16+X18</x:f>
        <x:v>0</x:v>
      </x:c>
      <x:c r="AK17" s="28" t="n">
        <x:f>Y16+Y18</x:f>
        <x:v>1.7</x:v>
      </x:c>
      <x:c r="AL17" s="28" t="n">
        <x:f>Z16+Z18</x:f>
        <x:v>0</x:v>
      </x:c>
      <x:c r="AM17" s="28" t="n">
        <x:f>AA16+AA18</x:f>
        <x:v>0</x:v>
      </x:c>
    </x:row>
    <x:row r="18" ht="22" customHeight="1">
      <x:c r="A18" s="1"/>
      <x:c r="B18" s="1"/>
      <x:c r="C18" s="1" t="str">
        <x:v>Renewed annual sponsors</x:v>
      </x:c>
      <x:c r="D18" s="29" t="n">
        <x:f>D17*'Assumptions'!$D$12</x:f>
        <x:v>0</x:v>
      </x:c>
      <x:c r="E18" s="29" t="n">
        <x:f>E17*'Assumptions'!$D$12</x:f>
        <x:v>0</x:v>
      </x:c>
      <x:c r="F18" s="29" t="n">
        <x:f>F17*'Assumptions'!$D$12</x:f>
        <x:v>0</x:v>
      </x:c>
      <x:c r="G18" s="29" t="n">
        <x:f>G17*'Assumptions'!$D$12</x:f>
        <x:v>0</x:v>
      </x:c>
      <x:c r="H18" s="29" t="n">
        <x:f>H17*'Assumptions'!$D$12</x:f>
        <x:v>0</x:v>
      </x:c>
      <x:c r="I18" s="29" t="n">
        <x:f>I17*'Assumptions'!$D$12</x:f>
        <x:v>0</x:v>
      </x:c>
      <x:c r="J18" s="29" t="n">
        <x:f>J17*'Assumptions'!$D$12</x:f>
        <x:v>0</x:v>
      </x:c>
      <x:c r="K18" s="29" t="n">
        <x:f>K17*'Assumptions'!$D$12</x:f>
        <x:v>0</x:v>
      </x:c>
      <x:c r="L18" s="29" t="n">
        <x:f>L17*'Assumptions'!$D$12</x:f>
        <x:v>0</x:v>
      </x:c>
      <x:c r="M18" s="29" t="n">
        <x:f>M17*'Assumptions'!$D$12</x:f>
        <x:v>0</x:v>
      </x:c>
      <x:c r="N18" s="29" t="n">
        <x:f>N17*'Assumptions'!$D$12</x:f>
        <x:v>0</x:v>
      </x:c>
      <x:c r="O18" s="29" t="n">
        <x:f>O17*'Assumptions'!$D$12</x:f>
        <x:v>0</x:v>
      </x:c>
      <x:c r="P18" s="29" t="n">
        <x:f>P17*'Assumptions'!$D$12</x:f>
        <x:v>0</x:v>
      </x:c>
      <x:c r="Q18" s="29" t="n">
        <x:f>Q17*'Assumptions'!$D$12</x:f>
        <x:v>0</x:v>
      </x:c>
      <x:c r="R18" s="29" t="n">
        <x:f>R17*'Assumptions'!$D$12</x:f>
        <x:v>0</x:v>
      </x:c>
      <x:c r="S18" s="29" t="n">
        <x:f>S17*'Assumptions'!$D$12</x:f>
        <x:v>0</x:v>
      </x:c>
      <x:c r="T18" s="29" t="n">
        <x:f>T17*'Assumptions'!$D$12</x:f>
        <x:v>0</x:v>
      </x:c>
      <x:c r="U18" s="29" t="n">
        <x:f>U17*'Assumptions'!$D$12</x:f>
        <x:v>0</x:v>
      </x:c>
      <x:c r="V18" s="29" t="n">
        <x:f>V17*'Assumptions'!$D$12</x:f>
        <x:v>0.7</x:v>
      </x:c>
      <x:c r="W18" s="29" t="n">
        <x:f>W17*'Assumptions'!$D$12</x:f>
        <x:v>0</x:v>
      </x:c>
      <x:c r="X18" s="29" t="n">
        <x:f>X17*'Assumptions'!$D$12</x:f>
        <x:v>0</x:v>
      </x:c>
      <x:c r="Y18" s="29" t="n">
        <x:f>Y17*'Assumptions'!$D$12</x:f>
        <x:v>0.7</x:v>
      </x:c>
      <x:c r="Z18" s="29" t="n">
        <x:f>Z17*'Assumptions'!$D$12</x:f>
        <x:v>0</x:v>
      </x:c>
      <x:c r="AA18" s="29" t="n">
        <x:f>AA17*'Assumptions'!$D$12</x:f>
        <x:v>0</x:v>
      </x:c>
      <x:c r="AB18" s="29" t="n">
        <x:f>AB17*'Assumptions'!$D$12</x:f>
        <x:v>0</x:v>
      </x:c>
      <x:c r="AC18" s="29" t="n">
        <x:f>AC17*'Assumptions'!$D$12</x:f>
        <x:v>0</x:v>
      </x:c>
      <x:c r="AD18" s="29" t="n">
        <x:f>AD17*'Assumptions'!$D$12</x:f>
        <x:v>0</x:v>
      </x:c>
      <x:c r="AE18" s="29" t="n">
        <x:f>AE17*'Assumptions'!$D$12</x:f>
        <x:v>0.7</x:v>
      </x:c>
      <x:c r="AF18" s="29" t="n">
        <x:f>AF17*'Assumptions'!$D$12</x:f>
        <x:v>0</x:v>
      </x:c>
      <x:c r="AG18" s="29" t="n">
        <x:f>AG17*'Assumptions'!$D$12</x:f>
        <x:v>0</x:v>
      </x:c>
      <x:c r="AH18" s="29" t="n">
        <x:f>AH17*'Assumptions'!$D$12</x:f>
        <x:v>0.48999999999999994</x:v>
      </x:c>
      <x:c r="AI18" s="29" t="n">
        <x:f>AI17*'Assumptions'!$D$12</x:f>
        <x:v>0</x:v>
      </x:c>
      <x:c r="AJ18" s="29" t="n">
        <x:f>AJ17*'Assumptions'!$D$12</x:f>
        <x:v>0</x:v>
      </x:c>
      <x:c r="AK18" s="29" t="n">
        <x:f>AK17*'Assumptions'!$D$12</x:f>
        <x:v>1.19</x:v>
      </x:c>
      <x:c r="AL18" s="29" t="n">
        <x:f>AL17*'Assumptions'!$D$12</x:f>
        <x:v>0</x:v>
      </x:c>
      <x:c r="AM18" s="29" t="n">
        <x:f>AM17*'Assumptions'!$D$12</x:f>
        <x:v>0</x:v>
      </x:c>
    </x:row>
    <x:row r="19" ht="22" customHeight="1">
      <x:c r="A19" s="1"/>
      <x:c r="B19" s="1"/>
      <x:c r="C19" s="1" t="str">
        <x:v>Active sponsors</x:v>
      </x:c>
      <x:c r="D19" s="30" t="n">
        <x:f>0+D16-D17+D18</x:f>
        <x:v>0</x:v>
      </x:c>
      <x:c r="E19" s="30" t="n">
        <x:f>D19+E16-E17+E18</x:f>
        <x:v>0</x:v>
      </x:c>
      <x:c r="F19" s="30" t="n">
        <x:f>E19+F16-F17+F18</x:f>
        <x:v>0</x:v>
      </x:c>
      <x:c r="G19" s="30" t="n">
        <x:f>F19+G16-G17+G18</x:f>
        <x:v>0</x:v>
      </x:c>
      <x:c r="H19" s="30" t="n">
        <x:f>G19+H16-H17+H18</x:f>
        <x:v>0</x:v>
      </x:c>
      <x:c r="I19" s="30" t="n">
        <x:f>H19+I16-I17+I18</x:f>
        <x:v>0</x:v>
      </x:c>
      <x:c r="J19" s="30" t="n">
        <x:f>I19+J16-J17+J18</x:f>
        <x:v>1</x:v>
      </x:c>
      <x:c r="K19" s="30" t="n">
        <x:f>J19+K16-K17+K18</x:f>
        <x:v>1</x:v>
      </x:c>
      <x:c r="L19" s="30" t="n">
        <x:f>K19+L16-L17+L18</x:f>
        <x:v>1</x:v>
      </x:c>
      <x:c r="M19" s="30" t="n">
        <x:f>L19+M16-M17+M18</x:f>
        <x:v>2</x:v>
      </x:c>
      <x:c r="N19" s="30" t="n">
        <x:f>M19+N16-N17+N18</x:f>
        <x:v>2</x:v>
      </x:c>
      <x:c r="O19" s="30" t="n">
        <x:f>N19+O16-O17+O18</x:f>
        <x:v>2</x:v>
      </x:c>
      <x:c r="P19" s="30" t="n">
        <x:f>O19+P16-P17+P18</x:f>
        <x:v>2</x:v>
      </x:c>
      <x:c r="Q19" s="30" t="n">
        <x:f>P19+Q16-Q17+Q18</x:f>
        <x:v>2</x:v>
      </x:c>
      <x:c r="R19" s="30" t="n">
        <x:f>Q19+R16-R17+R18</x:f>
        <x:v>2</x:v>
      </x:c>
      <x:c r="S19" s="30" t="n">
        <x:f>R19+S16-S17+S18</x:f>
        <x:v>3</x:v>
      </x:c>
      <x:c r="T19" s="30" t="n">
        <x:f>S19+T16-T17+T18</x:f>
        <x:v>3</x:v>
      </x:c>
      <x:c r="U19" s="30" t="n">
        <x:f>T19+U16-U17+U18</x:f>
        <x:v>3</x:v>
      </x:c>
      <x:c r="V19" s="30" t="n">
        <x:f>U19+V16-V17+V18</x:f>
        <x:v>2.7</x:v>
      </x:c>
      <x:c r="W19" s="30" t="n">
        <x:f>V19+W16-W17+W18</x:f>
        <x:v>2.7</x:v>
      </x:c>
      <x:c r="X19" s="30" t="n">
        <x:f>W19+X16-X17+X18</x:f>
        <x:v>2.7</x:v>
      </x:c>
      <x:c r="Y19" s="30" t="n">
        <x:f>X19+Y16-Y17+Y18</x:f>
        <x:v>3.4000000000000004</x:v>
      </x:c>
      <x:c r="Z19" s="30" t="n">
        <x:f>Y19+Z16-Z17+Z18</x:f>
        <x:v>3.4000000000000004</x:v>
      </x:c>
      <x:c r="AA19" s="30" t="n">
        <x:f>Z19+AA16-AA17+AA18</x:f>
        <x:v>3.4000000000000004</x:v>
      </x:c>
      <x:c r="AB19" s="30" t="n">
        <x:f>AA19+AB16-AB17+AB18</x:f>
        <x:v>3.4000000000000004</x:v>
      </x:c>
      <x:c r="AC19" s="30" t="n">
        <x:f>AB19+AC16-AC17+AC18</x:f>
        <x:v>3.4000000000000004</x:v>
      </x:c>
      <x:c r="AD19" s="30" t="n">
        <x:f>AC19+AD16-AD17+AD18</x:f>
        <x:v>3.4000000000000004</x:v>
      </x:c>
      <x:c r="AE19" s="30" t="n">
        <x:f>AD19+AE16-AE17+AE18</x:f>
        <x:v>4.1000000000000005</x:v>
      </x:c>
      <x:c r="AF19" s="30" t="n">
        <x:f>AE19+AF16-AF17+AF18</x:f>
        <x:v>4.1000000000000005</x:v>
      </x:c>
      <x:c r="AG19" s="30" t="n">
        <x:f>AF19+AG16-AG17+AG18</x:f>
        <x:v>4.1000000000000005</x:v>
      </x:c>
      <x:c r="AH19" s="30" t="n">
        <x:f>AG19+AH16-AH17+AH18</x:f>
        <x:v>3.89</x:v>
      </x:c>
      <x:c r="AI19" s="30" t="n">
        <x:f>AH19+AI16-AI17+AI18</x:f>
        <x:v>3.89</x:v>
      </x:c>
      <x:c r="AJ19" s="30" t="n">
        <x:f>AI19+AJ16-AJ17+AJ18</x:f>
        <x:v>3.89</x:v>
      </x:c>
      <x:c r="AK19" s="30" t="n">
        <x:f>AJ19+AK16-AK17+AK18</x:f>
        <x:v>4.380000000000001</x:v>
      </x:c>
      <x:c r="AL19" s="30" t="n">
        <x:f>AK19+AL16-AL17+AL18</x:f>
        <x:v>4.380000000000001</x:v>
      </x:c>
      <x:c r="AM19" s="30" t="n">
        <x:f>AL19+AM16-AM17+AM18</x:f>
        <x:v>4.380000000000001</x:v>
      </x:c>
    </x:row>
    <x:row r="20" ht="22" customHeight="1">
      <x:c r="A20" s="1"/>
      <x:c r="B20" s="1"/>
      <x:c r="C20" s="1" t="str">
        <x:v>Sponsor recognised revenue</x:v>
      </x:c>
      <x:c r="D20" s="27" t="n">
        <x:f>D19*'Assumptions'!$D$11/12</x:f>
        <x:v>0</x:v>
      </x:c>
      <x:c r="E20" s="27" t="n">
        <x:f>E19*'Assumptions'!$D$11/12</x:f>
        <x:v>0</x:v>
      </x:c>
      <x:c r="F20" s="27" t="n">
        <x:f>F19*'Assumptions'!$D$11/12</x:f>
        <x:v>0</x:v>
      </x:c>
      <x:c r="G20" s="27" t="n">
        <x:f>G19*'Assumptions'!$D$11/12</x:f>
        <x:v>0</x:v>
      </x:c>
      <x:c r="H20" s="27" t="n">
        <x:f>H19*'Assumptions'!$D$11/12</x:f>
        <x:v>0</x:v>
      </x:c>
      <x:c r="I20" s="27" t="n">
        <x:f>I19*'Assumptions'!$D$11/12</x:f>
        <x:v>0</x:v>
      </x:c>
      <x:c r="J20" s="27" t="n">
        <x:f>J19*'Assumptions'!$D$11/12</x:f>
        <x:v>625</x:v>
      </x:c>
      <x:c r="K20" s="27" t="n">
        <x:f>K19*'Assumptions'!$D$11/12</x:f>
        <x:v>625</x:v>
      </x:c>
      <x:c r="L20" s="27" t="n">
        <x:f>L19*'Assumptions'!$D$11/12</x:f>
        <x:v>625</x:v>
      </x:c>
      <x:c r="M20" s="27" t="n">
        <x:f>M19*'Assumptions'!$D$11/12</x:f>
        <x:v>1250</x:v>
      </x:c>
      <x:c r="N20" s="27" t="n">
        <x:f>N19*'Assumptions'!$D$11/12</x:f>
        <x:v>1250</x:v>
      </x:c>
      <x:c r="O20" s="27" t="n">
        <x:f>O19*'Assumptions'!$D$11/12</x:f>
        <x:v>1250</x:v>
      </x:c>
      <x:c r="P20" s="27" t="n">
        <x:f>P19*'Assumptions'!$D$11/12</x:f>
        <x:v>1250</x:v>
      </x:c>
      <x:c r="Q20" s="27" t="n">
        <x:f>Q19*'Assumptions'!$D$11/12</x:f>
        <x:v>1250</x:v>
      </x:c>
      <x:c r="R20" s="27" t="n">
        <x:f>R19*'Assumptions'!$D$11/12</x:f>
        <x:v>1250</x:v>
      </x:c>
      <x:c r="S20" s="27" t="n">
        <x:f>S19*'Assumptions'!$D$11/12</x:f>
        <x:v>1875</x:v>
      </x:c>
      <x:c r="T20" s="27" t="n">
        <x:f>T19*'Assumptions'!$D$11/12</x:f>
        <x:v>1875</x:v>
      </x:c>
      <x:c r="U20" s="27" t="n">
        <x:f>U19*'Assumptions'!$D$11/12</x:f>
        <x:v>1875</x:v>
      </x:c>
      <x:c r="V20" s="27" t="n">
        <x:f>V19*'Assumptions'!$D$11/12</x:f>
        <x:v>1687.5</x:v>
      </x:c>
      <x:c r="W20" s="27" t="n">
        <x:f>W19*'Assumptions'!$D$11/12</x:f>
        <x:v>1687.5</x:v>
      </x:c>
      <x:c r="X20" s="27" t="n">
        <x:f>X19*'Assumptions'!$D$11/12</x:f>
        <x:v>1687.5</x:v>
      </x:c>
      <x:c r="Y20" s="27" t="n">
        <x:f>Y19*'Assumptions'!$D$11/12</x:f>
        <x:v>2125.0000000000005</x:v>
      </x:c>
      <x:c r="Z20" s="27" t="n">
        <x:f>Z19*'Assumptions'!$D$11/12</x:f>
        <x:v>2125.0000000000005</x:v>
      </x:c>
      <x:c r="AA20" s="27" t="n">
        <x:f>AA19*'Assumptions'!$D$11/12</x:f>
        <x:v>2125.0000000000005</x:v>
      </x:c>
      <x:c r="AB20" s="27" t="n">
        <x:f>AB19*'Assumptions'!$D$11/12</x:f>
        <x:v>2125.0000000000005</x:v>
      </x:c>
      <x:c r="AC20" s="27" t="n">
        <x:f>AC19*'Assumptions'!$D$11/12</x:f>
        <x:v>2125.0000000000005</x:v>
      </x:c>
      <x:c r="AD20" s="27" t="n">
        <x:f>AD19*'Assumptions'!$D$11/12</x:f>
        <x:v>2125.0000000000005</x:v>
      </x:c>
      <x:c r="AE20" s="27" t="n">
        <x:f>AE19*'Assumptions'!$D$11/12</x:f>
        <x:v>2562.5000000000005</x:v>
      </x:c>
      <x:c r="AF20" s="27" t="n">
        <x:f>AF19*'Assumptions'!$D$11/12</x:f>
        <x:v>2562.5000000000005</x:v>
      </x:c>
      <x:c r="AG20" s="27" t="n">
        <x:f>AG19*'Assumptions'!$D$11/12</x:f>
        <x:v>2562.5000000000005</x:v>
      </x:c>
      <x:c r="AH20" s="27" t="n">
        <x:f>AH19*'Assumptions'!$D$11/12</x:f>
        <x:v>2431.25</x:v>
      </x:c>
      <x:c r="AI20" s="27" t="n">
        <x:f>AI19*'Assumptions'!$D$11/12</x:f>
        <x:v>2431.25</x:v>
      </x:c>
      <x:c r="AJ20" s="27" t="n">
        <x:f>AJ19*'Assumptions'!$D$11/12</x:f>
        <x:v>2431.25</x:v>
      </x:c>
      <x:c r="AK20" s="27" t="n">
        <x:f>AK19*'Assumptions'!$D$11/12</x:f>
        <x:v>2737.5000000000005</x:v>
      </x:c>
      <x:c r="AL20" s="27" t="n">
        <x:f>AL19*'Assumptions'!$D$11/12</x:f>
        <x:v>2737.5000000000005</x:v>
      </x:c>
      <x:c r="AM20" s="27" t="n">
        <x:f>AM19*'Assumptions'!$D$11/12</x:f>
        <x:v>2737.5000000000005</x:v>
      </x:c>
    </x:row>
    <x:row r="21" ht="22" customHeight="1">
      <x:c r="A21" s="1"/>
      <x:c r="B21" s="1"/>
      <x:c r="C21" s="1" t="str">
        <x:v>Sponsor cash collections</x:v>
      </x:c>
      <x:c r="D21" s="27" t="n">
        <x:f>(D16+D18)*'Assumptions'!$D$11</x:f>
        <x:v>0</x:v>
      </x:c>
      <x:c r="E21" s="27" t="n">
        <x:f>(E16+E18)*'Assumptions'!$D$11</x:f>
        <x:v>0</x:v>
      </x:c>
      <x:c r="F21" s="27" t="n">
        <x:f>(F16+F18)*'Assumptions'!$D$11</x:f>
        <x:v>0</x:v>
      </x:c>
      <x:c r="G21" s="27" t="n">
        <x:f>(G16+G18)*'Assumptions'!$D$11</x:f>
        <x:v>0</x:v>
      </x:c>
      <x:c r="H21" s="27" t="n">
        <x:f>(H16+H18)*'Assumptions'!$D$11</x:f>
        <x:v>0</x:v>
      </x:c>
      <x:c r="I21" s="27" t="n">
        <x:f>(I16+I18)*'Assumptions'!$D$11</x:f>
        <x:v>0</x:v>
      </x:c>
      <x:c r="J21" s="27" t="n">
        <x:f>(J16+J18)*'Assumptions'!$D$11</x:f>
        <x:v>7500</x:v>
      </x:c>
      <x:c r="K21" s="27" t="n">
        <x:f>(K16+K18)*'Assumptions'!$D$11</x:f>
        <x:v>0</x:v>
      </x:c>
      <x:c r="L21" s="27" t="n">
        <x:f>(L16+L18)*'Assumptions'!$D$11</x:f>
        <x:v>0</x:v>
      </x:c>
      <x:c r="M21" s="27" t="n">
        <x:f>(M16+M18)*'Assumptions'!$D$11</x:f>
        <x:v>7500</x:v>
      </x:c>
      <x:c r="N21" s="27" t="n">
        <x:f>(N16+N18)*'Assumptions'!$D$11</x:f>
        <x:v>0</x:v>
      </x:c>
      <x:c r="O21" s="27" t="n">
        <x:f>(O16+O18)*'Assumptions'!$D$11</x:f>
        <x:v>0</x:v>
      </x:c>
      <x:c r="P21" s="27" t="n">
        <x:f>(P16+P18)*'Assumptions'!$D$11</x:f>
        <x:v>0</x:v>
      </x:c>
      <x:c r="Q21" s="27" t="n">
        <x:f>(Q16+Q18)*'Assumptions'!$D$11</x:f>
        <x:v>0</x:v>
      </x:c>
      <x:c r="R21" s="27" t="n">
        <x:f>(R16+R18)*'Assumptions'!$D$11</x:f>
        <x:v>0</x:v>
      </x:c>
      <x:c r="S21" s="27" t="n">
        <x:f>(S16+S18)*'Assumptions'!$D$11</x:f>
        <x:v>7500</x:v>
      </x:c>
      <x:c r="T21" s="27" t="n">
        <x:f>(T16+T18)*'Assumptions'!$D$11</x:f>
        <x:v>0</x:v>
      </x:c>
      <x:c r="U21" s="27" t="n">
        <x:f>(U16+U18)*'Assumptions'!$D$11</x:f>
        <x:v>0</x:v>
      </x:c>
      <x:c r="V21" s="27" t="n">
        <x:f>(V16+V18)*'Assumptions'!$D$11</x:f>
        <x:v>5250</x:v>
      </x:c>
      <x:c r="W21" s="27" t="n">
        <x:f>(W16+W18)*'Assumptions'!$D$11</x:f>
        <x:v>0</x:v>
      </x:c>
      <x:c r="X21" s="27" t="n">
        <x:f>(X16+X18)*'Assumptions'!$D$11</x:f>
        <x:v>0</x:v>
      </x:c>
      <x:c r="Y21" s="27" t="n">
        <x:f>(Y16+Y18)*'Assumptions'!$D$11</x:f>
        <x:v>12750</x:v>
      </x:c>
      <x:c r="Z21" s="27" t="n">
        <x:f>(Z16+Z18)*'Assumptions'!$D$11</x:f>
        <x:v>0</x:v>
      </x:c>
      <x:c r="AA21" s="27" t="n">
        <x:f>(AA16+AA18)*'Assumptions'!$D$11</x:f>
        <x:v>0</x:v>
      </x:c>
      <x:c r="AB21" s="27" t="n">
        <x:f>(AB16+AB18)*'Assumptions'!$D$11</x:f>
        <x:v>0</x:v>
      </x:c>
      <x:c r="AC21" s="27" t="n">
        <x:f>(AC16+AC18)*'Assumptions'!$D$11</x:f>
        <x:v>0</x:v>
      </x:c>
      <x:c r="AD21" s="27" t="n">
        <x:f>(AD16+AD18)*'Assumptions'!$D$11</x:f>
        <x:v>0</x:v>
      </x:c>
      <x:c r="AE21" s="27" t="n">
        <x:f>(AE16+AE18)*'Assumptions'!$D$11</x:f>
        <x:v>12750</x:v>
      </x:c>
      <x:c r="AF21" s="27" t="n">
        <x:f>(AF16+AF18)*'Assumptions'!$D$11</x:f>
        <x:v>0</x:v>
      </x:c>
      <x:c r="AG21" s="27" t="n">
        <x:f>(AG16+AG18)*'Assumptions'!$D$11</x:f>
        <x:v>0</x:v>
      </x:c>
      <x:c r="AH21" s="27" t="n">
        <x:f>(AH16+AH18)*'Assumptions'!$D$11</x:f>
        <x:v>3674.9999999999995</x:v>
      </x:c>
      <x:c r="AI21" s="27" t="n">
        <x:f>(AI16+AI18)*'Assumptions'!$D$11</x:f>
        <x:v>0</x:v>
      </x:c>
      <x:c r="AJ21" s="27" t="n">
        <x:f>(AJ16+AJ18)*'Assumptions'!$D$11</x:f>
        <x:v>0</x:v>
      </x:c>
      <x:c r="AK21" s="27" t="n">
        <x:f>(AK16+AK18)*'Assumptions'!$D$11</x:f>
        <x:v>16425</x:v>
      </x:c>
      <x:c r="AL21" s="27" t="n">
        <x:f>(AL16+AL18)*'Assumptions'!$D$11</x:f>
        <x:v>0</x:v>
      </x:c>
      <x:c r="AM21" s="27" t="n">
        <x:f>(AM16+AM18)*'Assumptions'!$D$11</x:f>
        <x:v>0</x:v>
      </x:c>
    </x:row>
    <x:row r="22" ht="22" customHeight="1">
      <x:c r="A22" s="1"/>
      <x:c r="B22" s="1"/>
      <x:c r="C22" s="1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  <x:c r="AG22" s="12"/>
      <x:c r="AH22" s="12"/>
      <x:c r="AI22" s="12"/>
      <x:c r="AJ22" s="12"/>
      <x:c r="AK22" s="12"/>
      <x:c r="AL22" s="12"/>
      <x:c r="AM22" s="12"/>
    </x:row>
    <x:row r="23" ht="22" customHeight="1">
      <x:c r="A23" s="1"/>
      <x:c r="B23" s="1"/>
      <x:c r="C23" s="1" t="str">
        <x:v>New premium accounts within capacity</x:v>
      </x:c>
      <x:c r="D23" s="29" t="n">
        <x:f>IF(1&gt;='Assumptions'!$D$42,MIN(IF(ISNUMBER('Assumptions'!D53),'Assumptions'!D53,NA()),MAX(0,D12*'Assumptions'!$D$39-(0)*(1-'Assumptions'!$D$15))),0)</x:f>
        <x:v>0</x:v>
      </x:c>
      <x:c r="E23" s="29" t="n">
        <x:f>IF(2&gt;='Assumptions'!$D$42,MIN(IF(ISNUMBER('Assumptions'!E53),'Assumptions'!E53,NA()),MAX(0,E12*'Assumptions'!$D$39-(D25)*(1-'Assumptions'!$D$15))),0)</x:f>
        <x:v>0</x:v>
      </x:c>
      <x:c r="F23" s="29" t="n">
        <x:f>IF(3&gt;='Assumptions'!$D$42,MIN(IF(ISNUMBER('Assumptions'!F53),'Assumptions'!F53,NA()),MAX(0,F12*'Assumptions'!$D$39-(E25)*(1-'Assumptions'!$D$15))),0)</x:f>
        <x:v>0</x:v>
      </x:c>
      <x:c r="G23" s="29" t="n">
        <x:f>IF(4&gt;='Assumptions'!$D$42,MIN(IF(ISNUMBER('Assumptions'!G53),'Assumptions'!G53,NA()),MAX(0,G12*'Assumptions'!$D$39-(F25)*(1-'Assumptions'!$D$15))),0)</x:f>
        <x:v>0</x:v>
      </x:c>
      <x:c r="H23" s="29" t="n">
        <x:f>IF(5&gt;='Assumptions'!$D$42,MIN(IF(ISNUMBER('Assumptions'!H53),'Assumptions'!H53,NA()),MAX(0,H12*'Assumptions'!$D$39-(G25)*(1-'Assumptions'!$D$15))),0)</x:f>
        <x:v>0</x:v>
      </x:c>
      <x:c r="I23" s="29" t="n">
        <x:f>IF(6&gt;='Assumptions'!$D$42,MIN(IF(ISNUMBER('Assumptions'!I53),'Assumptions'!I53,NA()),MAX(0,I12*'Assumptions'!$D$39-(H25)*(1-'Assumptions'!$D$15))),0)</x:f>
        <x:v>0</x:v>
      </x:c>
      <x:c r="J23" s="29" t="n">
        <x:f>IF(7&gt;='Assumptions'!$D$42,MIN(IF(ISNUMBER('Assumptions'!J53),'Assumptions'!J53,NA()),MAX(0,J12*'Assumptions'!$D$39-(I25)*(1-'Assumptions'!$D$15))),0)</x:f>
        <x:v>0</x:v>
      </x:c>
      <x:c r="K23" s="29" t="n">
        <x:f>IF(8&gt;='Assumptions'!$D$42,MIN(IF(ISNUMBER('Assumptions'!K53),'Assumptions'!K53,NA()),MAX(0,K12*'Assumptions'!$D$39-(J25)*(1-'Assumptions'!$D$15))),0)</x:f>
        <x:v>0</x:v>
      </x:c>
      <x:c r="L23" s="29" t="n">
        <x:f>IF(9&gt;='Assumptions'!$D$42,MIN(IF(ISNUMBER('Assumptions'!L53),'Assumptions'!L53,NA()),MAX(0,L12*'Assumptions'!$D$39-(K25)*(1-'Assumptions'!$D$15))),0)</x:f>
        <x:v>0</x:v>
      </x:c>
      <x:c r="M23" s="29" t="n">
        <x:f>IF(10&gt;='Assumptions'!$D$42,MIN(IF(ISNUMBER('Assumptions'!M53),'Assumptions'!M53,NA()),MAX(0,M12*'Assumptions'!$D$39-(L25)*(1-'Assumptions'!$D$15))),0)</x:f>
        <x:v>1</x:v>
      </x:c>
      <x:c r="N23" s="29" t="n">
        <x:f>IF(11&gt;='Assumptions'!$D$42,MIN(IF(ISNUMBER('Assumptions'!N53),'Assumptions'!N53,NA()),MAX(0,N12*'Assumptions'!$D$39-(M25)*(1-'Assumptions'!$D$15))),0)</x:f>
        <x:v>1</x:v>
      </x:c>
      <x:c r="O23" s="29" t="n">
        <x:f>IF(12&gt;='Assumptions'!$D$42,MIN(IF(ISNUMBER('Assumptions'!O53),'Assumptions'!O53,NA()),MAX(0,O12*'Assumptions'!$D$39-(N25)*(1-'Assumptions'!$D$15))),0)</x:f>
        <x:v>1</x:v>
      </x:c>
      <x:c r="P23" s="29" t="n">
        <x:f>IF(13&gt;='Assumptions'!$D$42,MIN(IF(ISNUMBER('Assumptions'!P53),'Assumptions'!P53,NA()),MAX(0,P12*'Assumptions'!$D$39-(O25)*(1-'Assumptions'!$D$15))),0)</x:f>
        <x:v>1</x:v>
      </x:c>
      <x:c r="Q23" s="29" t="n">
        <x:f>IF(14&gt;='Assumptions'!$D$42,MIN(IF(ISNUMBER('Assumptions'!Q53),'Assumptions'!Q53,NA()),MAX(0,Q12*'Assumptions'!$D$39-(P25)*(1-'Assumptions'!$D$15))),0)</x:f>
        <x:v>1</x:v>
      </x:c>
      <x:c r="R23" s="29" t="n">
        <x:f>IF(15&gt;='Assumptions'!$D$42,MIN(IF(ISNUMBER('Assumptions'!R53),'Assumptions'!R53,NA()),MAX(0,R12*'Assumptions'!$D$39-(Q25)*(1-'Assumptions'!$D$15))),0)</x:f>
        <x:v>1</x:v>
      </x:c>
      <x:c r="S23" s="29" t="n">
        <x:f>IF(16&gt;='Assumptions'!$D$42,MIN(IF(ISNUMBER('Assumptions'!S53),'Assumptions'!S53,NA()),MAX(0,S12*'Assumptions'!$D$39-(R25)*(1-'Assumptions'!$D$15))),0)</x:f>
        <x:v>1</x:v>
      </x:c>
      <x:c r="T23" s="29" t="n">
        <x:f>IF(17&gt;='Assumptions'!$D$42,MIN(IF(ISNUMBER('Assumptions'!T53),'Assumptions'!T53,NA()),MAX(0,T12*'Assumptions'!$D$39-(S25)*(1-'Assumptions'!$D$15))),0)</x:f>
        <x:v>1</x:v>
      </x:c>
      <x:c r="U23" s="29" t="n">
        <x:f>IF(18&gt;='Assumptions'!$D$42,MIN(IF(ISNUMBER('Assumptions'!U53),'Assumptions'!U53,NA()),MAX(0,U12*'Assumptions'!$D$39-(T25)*(1-'Assumptions'!$D$15))),0)</x:f>
        <x:v>1</x:v>
      </x:c>
      <x:c r="V23" s="29" t="n">
        <x:f>IF(19&gt;='Assumptions'!$D$42,MIN(IF(ISNUMBER('Assumptions'!V53),'Assumptions'!V53,NA()),MAX(0,V12*'Assumptions'!$D$39-(U25)*(1-'Assumptions'!$D$15))),0)</x:f>
        <x:v>1</x:v>
      </x:c>
      <x:c r="W23" s="29" t="n">
        <x:f>IF(20&gt;='Assumptions'!$D$42,MIN(IF(ISNUMBER('Assumptions'!W53),'Assumptions'!W53,NA()),MAX(0,W12*'Assumptions'!$D$39-(V25)*(1-'Assumptions'!$D$15))),0)</x:f>
        <x:v>1</x:v>
      </x:c>
      <x:c r="X23" s="29" t="n">
        <x:f>IF(21&gt;='Assumptions'!$D$42,MIN(IF(ISNUMBER('Assumptions'!X53),'Assumptions'!X53,NA()),MAX(0,X12*'Assumptions'!$D$39-(W25)*(1-'Assumptions'!$D$15))),0)</x:f>
        <x:v>1</x:v>
      </x:c>
      <x:c r="Y23" s="29" t="n">
        <x:f>IF(22&gt;='Assumptions'!$D$42,MIN(IF(ISNUMBER('Assumptions'!Y53),'Assumptions'!Y53,NA()),MAX(0,Y12*'Assumptions'!$D$39-(X25)*(1-'Assumptions'!$D$15))),0)</x:f>
        <x:v>1</x:v>
      </x:c>
      <x:c r="Z23" s="29" t="n">
        <x:f>IF(23&gt;='Assumptions'!$D$42,MIN(IF(ISNUMBER('Assumptions'!Z53),'Assumptions'!Z53,NA()),MAX(0,Z12*'Assumptions'!$D$39-(Y25)*(1-'Assumptions'!$D$15))),0)</x:f>
        <x:v>1</x:v>
      </x:c>
      <x:c r="AA23" s="29" t="n">
        <x:f>IF(24&gt;='Assumptions'!$D$42,MIN(IF(ISNUMBER('Assumptions'!AA53),'Assumptions'!AA53,NA()),MAX(0,AA12*'Assumptions'!$D$39-(Z25)*(1-'Assumptions'!$D$15))),0)</x:f>
        <x:v>1</x:v>
      </x:c>
      <x:c r="AB23" s="29" t="n">
        <x:f>IF(25&gt;='Assumptions'!$D$42,MIN(IF(ISNUMBER('Assumptions'!AB53),'Assumptions'!AB53,NA()),MAX(0,AB12*'Assumptions'!$D$39-(AA25)*(1-'Assumptions'!$D$15))),0)</x:f>
        <x:v>1</x:v>
      </x:c>
      <x:c r="AC23" s="29" t="n">
        <x:f>IF(26&gt;='Assumptions'!$D$42,MIN(IF(ISNUMBER('Assumptions'!AC53),'Assumptions'!AC53,NA()),MAX(0,AC12*'Assumptions'!$D$39-(AB25)*(1-'Assumptions'!$D$15))),0)</x:f>
        <x:v>1</x:v>
      </x:c>
      <x:c r="AD23" s="29" t="n">
        <x:f>IF(27&gt;='Assumptions'!$D$42,MIN(IF(ISNUMBER('Assumptions'!AD53),'Assumptions'!AD53,NA()),MAX(0,AD12*'Assumptions'!$D$39-(AC25)*(1-'Assumptions'!$D$15))),0)</x:f>
        <x:v>1</x:v>
      </x:c>
      <x:c r="AE23" s="29" t="n">
        <x:f>IF(28&gt;='Assumptions'!$D$42,MIN(IF(ISNUMBER('Assumptions'!AE53),'Assumptions'!AE53,NA()),MAX(0,AE12*'Assumptions'!$D$39-(AD25)*(1-'Assumptions'!$D$15))),0)</x:f>
        <x:v>1</x:v>
      </x:c>
      <x:c r="AF23" s="29" t="n">
        <x:f>IF(29&gt;='Assumptions'!$D$42,MIN(IF(ISNUMBER('Assumptions'!AF53),'Assumptions'!AF53,NA()),MAX(0,AF12*'Assumptions'!$D$39-(AE25)*(1-'Assumptions'!$D$15))),0)</x:f>
        <x:v>1</x:v>
      </x:c>
      <x:c r="AG23" s="29" t="n">
        <x:f>IF(30&gt;='Assumptions'!$D$42,MIN(IF(ISNUMBER('Assumptions'!AG53),'Assumptions'!AG53,NA()),MAX(0,AG12*'Assumptions'!$D$39-(AF25)*(1-'Assumptions'!$D$15))),0)</x:f>
        <x:v>1</x:v>
      </x:c>
      <x:c r="AH23" s="29" t="n">
        <x:f>IF(31&gt;='Assumptions'!$D$42,MIN(IF(ISNUMBER('Assumptions'!AH53),'Assumptions'!AH53,NA()),MAX(0,AH12*'Assumptions'!$D$39-(AG25)*(1-'Assumptions'!$D$15))),0)</x:f>
        <x:v>1</x:v>
      </x:c>
      <x:c r="AI23" s="29" t="n">
        <x:f>IF(32&gt;='Assumptions'!$D$42,MIN(IF(ISNUMBER('Assumptions'!AI53),'Assumptions'!AI53,NA()),MAX(0,AI12*'Assumptions'!$D$39-(AH25)*(1-'Assumptions'!$D$15))),0)</x:f>
        <x:v>1</x:v>
      </x:c>
      <x:c r="AJ23" s="29" t="n">
        <x:f>IF(33&gt;='Assumptions'!$D$42,MIN(IF(ISNUMBER('Assumptions'!AJ53),'Assumptions'!AJ53,NA()),MAX(0,AJ12*'Assumptions'!$D$39-(AI25)*(1-'Assumptions'!$D$15))),0)</x:f>
        <x:v>1</x:v>
      </x:c>
      <x:c r="AK23" s="29" t="n">
        <x:f>IF(34&gt;='Assumptions'!$D$42,MIN(IF(ISNUMBER('Assumptions'!AK53),'Assumptions'!AK53,NA()),MAX(0,AK12*'Assumptions'!$D$39-(AJ25)*(1-'Assumptions'!$D$15))),0)</x:f>
        <x:v>1</x:v>
      </x:c>
      <x:c r="AL23" s="29" t="n">
        <x:f>IF(35&gt;='Assumptions'!$D$42,MIN(IF(ISNUMBER('Assumptions'!AL53),'Assumptions'!AL53,NA()),MAX(0,AL12*'Assumptions'!$D$39-(AK25)*(1-'Assumptions'!$D$15))),0)</x:f>
        <x:v>1</x:v>
      </x:c>
      <x:c r="AM23" s="29" t="n">
        <x:f>IF(36&gt;='Assumptions'!$D$42,MIN(IF(ISNUMBER('Assumptions'!AM53),'Assumptions'!AM53,NA()),MAX(0,AM12*'Assumptions'!$D$39-(AL25)*(1-'Assumptions'!$D$15))),0)</x:f>
        <x:v>1</x:v>
      </x:c>
    </x:row>
    <x:row r="24" ht="22" customHeight="1">
      <x:c r="A24" s="1"/>
      <x:c r="B24" s="1"/>
      <x:c r="C24" s="1" t="str">
        <x:v>Premium accounts lost</x:v>
      </x:c>
      <x:c r="D24" s="29" t="n">
        <x:f>(0)*'Assumptions'!$D$15</x:f>
        <x:v>0</x:v>
      </x:c>
      <x:c r="E24" s="29" t="n">
        <x:f>(D25)*'Assumptions'!$D$15</x:f>
        <x:v>0</x:v>
      </x:c>
      <x:c r="F24" s="29" t="n">
        <x:f>(E25)*'Assumptions'!$D$15</x:f>
        <x:v>0</x:v>
      </x:c>
      <x:c r="G24" s="29" t="n">
        <x:f>(F25)*'Assumptions'!$D$15</x:f>
        <x:v>0</x:v>
      </x:c>
      <x:c r="H24" s="29" t="n">
        <x:f>(G25)*'Assumptions'!$D$15</x:f>
        <x:v>0</x:v>
      </x:c>
      <x:c r="I24" s="29" t="n">
        <x:f>(H25)*'Assumptions'!$D$15</x:f>
        <x:v>0</x:v>
      </x:c>
      <x:c r="J24" s="29" t="n">
        <x:f>(I25)*'Assumptions'!$D$15</x:f>
        <x:v>0</x:v>
      </x:c>
      <x:c r="K24" s="29" t="n">
        <x:f>(J25)*'Assumptions'!$D$15</x:f>
        <x:v>0</x:v>
      </x:c>
      <x:c r="L24" s="29" t="n">
        <x:f>(K25)*'Assumptions'!$D$15</x:f>
        <x:v>0</x:v>
      </x:c>
      <x:c r="M24" s="29" t="n">
        <x:f>(L25)*'Assumptions'!$D$15</x:f>
        <x:v>0</x:v>
      </x:c>
      <x:c r="N24" s="29" t="n">
        <x:f>(M25)*'Assumptions'!$D$15</x:f>
        <x:v>0.05</x:v>
      </x:c>
      <x:c r="O24" s="29" t="n">
        <x:f>(N25)*'Assumptions'!$D$15</x:f>
        <x:v>0.0975</x:v>
      </x:c>
      <x:c r="P24" s="29" t="n">
        <x:f>(O25)*'Assumptions'!$D$15</x:f>
        <x:v>0.142625</x:v>
      </x:c>
      <x:c r="Q24" s="29" t="n">
        <x:f>(P25)*'Assumptions'!$D$15</x:f>
        <x:v>0.18549375</x:v>
      </x:c>
      <x:c r="R24" s="29" t="n">
        <x:f>(Q25)*'Assumptions'!$D$15</x:f>
        <x:v>0.2262190625</x:v>
      </x:c>
      <x:c r="S24" s="29" t="n">
        <x:f>(R25)*'Assumptions'!$D$15</x:f>
        <x:v>0.26490810937500003</x:v>
      </x:c>
      <x:c r="T24" s="29" t="n">
        <x:f>(S25)*'Assumptions'!$D$15</x:f>
        <x:v>0.30166270390625005</x:v>
      </x:c>
      <x:c r="U24" s="29" t="n">
        <x:f>(T25)*'Assumptions'!$D$15</x:f>
        <x:v>0.3365795687109375</x:v>
      </x:c>
      <x:c r="V24" s="29" t="n">
        <x:f>(U25)*'Assumptions'!$D$15</x:f>
        <x:v>0.36975059027539064</x:v>
      </x:c>
      <x:c r="W24" s="29" t="n">
        <x:f>(V25)*'Assumptions'!$D$15</x:f>
        <x:v>0.40126306076162116</x:v>
      </x:c>
      <x:c r="X24" s="29" t="n">
        <x:f>(W25)*'Assumptions'!$D$15</x:f>
        <x:v>0.43119990772354005</x:v>
      </x:c>
      <x:c r="Y24" s="29" t="n">
        <x:f>(X25)*'Assumptions'!$D$15</x:f>
        <x:v>0.45963991233736307</x:v>
      </x:c>
      <x:c r="Z24" s="29" t="n">
        <x:f>(Y25)*'Assumptions'!$D$15</x:f>
        <x:v>0.48665791672049497</x:v>
      </x:c>
      <x:c r="AA24" s="29" t="n">
        <x:f>(Z25)*'Assumptions'!$D$15</x:f>
        <x:v>0.5123250208844702</x:v>
      </x:c>
      <x:c r="AB24" s="29" t="n">
        <x:f>(AA25)*'Assumptions'!$D$15</x:f>
        <x:v>0.5367087698402467</x:v>
      </x:c>
      <x:c r="AC24" s="29" t="n">
        <x:f>(AB25)*'Assumptions'!$D$15</x:f>
        <x:v>0.5598733313482344</x:v>
      </x:c>
      <x:c r="AD24" s="29" t="n">
        <x:f>(AC25)*'Assumptions'!$D$15</x:f>
        <x:v>0.5818796647808226</x:v>
      </x:c>
      <x:c r="AE24" s="29" t="n">
        <x:f>(AD25)*'Assumptions'!$D$15</x:f>
        <x:v>0.6027856815417816</x:v>
      </x:c>
      <x:c r="AF24" s="29" t="n">
        <x:f>(AE25)*'Assumptions'!$D$15</x:f>
        <x:v>0.6226463974646924</x:v>
      </x:c>
      <x:c r="AG24" s="29" t="n">
        <x:f>(AF25)*'Assumptions'!$D$15</x:f>
        <x:v>0.6415140775914578</x:v>
      </x:c>
      <x:c r="AH24" s="29" t="n">
        <x:f>(AG25)*'Assumptions'!$D$15</x:f>
        <x:v>0.659438373711885</x:v>
      </x:c>
      <x:c r="AI24" s="29" t="n">
        <x:f>(AH25)*'Assumptions'!$D$15</x:f>
        <x:v>0.6764664550262908</x:v>
      </x:c>
      <x:c r="AJ24" s="29" t="n">
        <x:f>(AI25)*'Assumptions'!$D$15</x:f>
        <x:v>0.6926431322749762</x:v>
      </x:c>
      <x:c r="AK24" s="29" t="n">
        <x:f>(AJ25)*'Assumptions'!$D$15</x:f>
        <x:v>0.7080109756612274</x:v>
      </x:c>
      <x:c r="AL24" s="29" t="n">
        <x:f>(AK25)*'Assumptions'!$D$15</x:f>
        <x:v>0.722610426878166</x:v>
      </x:c>
      <x:c r="AM24" s="29" t="n">
        <x:f>(AL25)*'Assumptions'!$D$15</x:f>
        <x:v>0.7364799055342577</x:v>
      </x:c>
    </x:row>
    <x:row r="25" ht="22" customHeight="1">
      <x:c r="A25" s="1"/>
      <x:c r="B25" s="1"/>
      <x:c r="C25" s="1" t="str">
        <x:v>Active premium accounts</x:v>
      </x:c>
      <x:c r="D25" s="30" t="n">
        <x:f>0+D23-D24</x:f>
        <x:v>0</x:v>
      </x:c>
      <x:c r="E25" s="30" t="n">
        <x:f>D25+E23-E24</x:f>
        <x:v>0</x:v>
      </x:c>
      <x:c r="F25" s="30" t="n">
        <x:f>E25+F23-F24</x:f>
        <x:v>0</x:v>
      </x:c>
      <x:c r="G25" s="30" t="n">
        <x:f>F25+G23-G24</x:f>
        <x:v>0</x:v>
      </x:c>
      <x:c r="H25" s="30" t="n">
        <x:f>G25+H23-H24</x:f>
        <x:v>0</x:v>
      </x:c>
      <x:c r="I25" s="30" t="n">
        <x:f>H25+I23-I24</x:f>
        <x:v>0</x:v>
      </x:c>
      <x:c r="J25" s="30" t="n">
        <x:f>I25+J23-J24</x:f>
        <x:v>0</x:v>
      </x:c>
      <x:c r="K25" s="30" t="n">
        <x:f>J25+K23-K24</x:f>
        <x:v>0</x:v>
      </x:c>
      <x:c r="L25" s="30" t="n">
        <x:f>K25+L23-L24</x:f>
        <x:v>0</x:v>
      </x:c>
      <x:c r="M25" s="30" t="n">
        <x:f>L25+M23-M24</x:f>
        <x:v>1</x:v>
      </x:c>
      <x:c r="N25" s="30" t="n">
        <x:f>M25+N23-N24</x:f>
        <x:v>1.95</x:v>
      </x:c>
      <x:c r="O25" s="30" t="n">
        <x:f>N25+O23-O24</x:f>
        <x:v>2.8525</x:v>
      </x:c>
      <x:c r="P25" s="30" t="n">
        <x:f>O25+P23-P24</x:f>
        <x:v>3.7098750000000003</x:v>
      </x:c>
      <x:c r="Q25" s="30" t="n">
        <x:f>P25+Q23-Q24</x:f>
        <x:v>4.52438125</x:v>
      </x:c>
      <x:c r="R25" s="30" t="n">
        <x:f>Q25+R23-R24</x:f>
        <x:v>5.2981621875</x:v>
      </x:c>
      <x:c r="S25" s="30" t="n">
        <x:f>R25+S23-S24</x:f>
        <x:v>6.033254078125</x:v>
      </x:c>
      <x:c r="T25" s="30" t="n">
        <x:f>S25+T23-T24</x:f>
        <x:v>6.73159137421875</x:v>
      </x:c>
      <x:c r="U25" s="30" t="n">
        <x:f>T25+U23-U24</x:f>
        <x:v>7.395011805507813</x:v>
      </x:c>
      <x:c r="V25" s="30" t="n">
        <x:f>U25+V23-V24</x:f>
        <x:v>8.025261215232423</x:v>
      </x:c>
      <x:c r="W25" s="30" t="n">
        <x:f>V25+W23-W24</x:f>
        <x:v>8.6239981544708</x:v>
      </x:c>
      <x:c r="X25" s="30" t="n">
        <x:f>W25+X23-X24</x:f>
        <x:v>9.19279824674726</x:v>
      </x:c>
      <x:c r="Y25" s="30" t="n">
        <x:f>X25+Y23-Y24</x:f>
        <x:v>9.733158334409898</x:v>
      </x:c>
      <x:c r="Z25" s="30" t="n">
        <x:f>Y25+Z23-Z24</x:f>
        <x:v>10.246500417689404</x:v>
      </x:c>
      <x:c r="AA25" s="30" t="n">
        <x:f>Z25+AA23-AA24</x:f>
        <x:v>10.734175396804934</x:v>
      </x:c>
      <x:c r="AB25" s="30" t="n">
        <x:f>AA25+AB23-AB24</x:f>
        <x:v>11.197466626964687</x:v>
      </x:c>
      <x:c r="AC25" s="30" t="n">
        <x:f>AB25+AC23-AC24</x:f>
        <x:v>11.637593295616453</x:v>
      </x:c>
      <x:c r="AD25" s="30" t="n">
        <x:f>AC25+AD23-AD24</x:f>
        <x:v>12.05571363083563</x:v>
      </x:c>
      <x:c r="AE25" s="30" t="n">
        <x:f>AD25+AE23-AE24</x:f>
        <x:v>12.452927949293848</x:v>
      </x:c>
      <x:c r="AF25" s="30" t="n">
        <x:f>AE25+AF23-AF24</x:f>
        <x:v>12.830281551829156</x:v>
      </x:c>
      <x:c r="AG25" s="30" t="n">
        <x:f>AF25+AG23-AG24</x:f>
        <x:v>13.188767474237698</x:v>
      </x:c>
      <x:c r="AH25" s="30" t="n">
        <x:f>AG25+AH23-AH24</x:f>
        <x:v>13.529329100525814</x:v>
      </x:c>
      <x:c r="AI25" s="30" t="n">
        <x:f>AH25+AI23-AI24</x:f>
        <x:v>13.852862645499524</x:v>
      </x:c>
      <x:c r="AJ25" s="30" t="n">
        <x:f>AI25+AJ23-AJ24</x:f>
        <x:v>14.160219513224547</x:v>
      </x:c>
      <x:c r="AK25" s="30" t="n">
        <x:f>AJ25+AK23-AK24</x:f>
        <x:v>14.452208537563319</x:v>
      </x:c>
      <x:c r="AL25" s="30" t="n">
        <x:f>AK25+AL23-AL24</x:f>
        <x:v>14.729598110685153</x:v>
      </x:c>
      <x:c r="AM25" s="30" t="n">
        <x:f>AL25+AM23-AM24</x:f>
        <x:v>14.993118205150894</x:v>
      </x:c>
    </x:row>
    <x:row r="26" ht="22" customHeight="1">
      <x:c r="A26" s="1"/>
      <x:c r="B26" s="1"/>
      <x:c r="C26" s="1" t="str">
        <x:v>Premium recognised revenue and cash</x:v>
      </x:c>
      <x:c r="D26" s="27" t="n">
        <x:f>D25*'Assumptions'!$D$14</x:f>
        <x:v>0</x:v>
      </x:c>
      <x:c r="E26" s="27" t="n">
        <x:f>E25*'Assumptions'!$D$14</x:f>
        <x:v>0</x:v>
      </x:c>
      <x:c r="F26" s="27" t="n">
        <x:f>F25*'Assumptions'!$D$14</x:f>
        <x:v>0</x:v>
      </x:c>
      <x:c r="G26" s="27" t="n">
        <x:f>G25*'Assumptions'!$D$14</x:f>
        <x:v>0</x:v>
      </x:c>
      <x:c r="H26" s="27" t="n">
        <x:f>H25*'Assumptions'!$D$14</x:f>
        <x:v>0</x:v>
      </x:c>
      <x:c r="I26" s="27" t="n">
        <x:f>I25*'Assumptions'!$D$14</x:f>
        <x:v>0</x:v>
      </x:c>
      <x:c r="J26" s="27" t="n">
        <x:f>J25*'Assumptions'!$D$14</x:f>
        <x:v>0</x:v>
      </x:c>
      <x:c r="K26" s="27" t="n">
        <x:f>K25*'Assumptions'!$D$14</x:f>
        <x:v>0</x:v>
      </x:c>
      <x:c r="L26" s="27" t="n">
        <x:f>L25*'Assumptions'!$D$14</x:f>
        <x:v>0</x:v>
      </x:c>
      <x:c r="M26" s="27" t="n">
        <x:f>M25*'Assumptions'!$D$14</x:f>
        <x:v>750</x:v>
      </x:c>
      <x:c r="N26" s="27" t="n">
        <x:f>N25*'Assumptions'!$D$14</x:f>
        <x:v>1462.5</x:v>
      </x:c>
      <x:c r="O26" s="27" t="n">
        <x:f>O25*'Assumptions'!$D$14</x:f>
        <x:v>2139.375</x:v>
      </x:c>
      <x:c r="P26" s="27" t="n">
        <x:f>P25*'Assumptions'!$D$14</x:f>
        <x:v>2782.40625</x:v>
      </x:c>
      <x:c r="Q26" s="27" t="n">
        <x:f>Q25*'Assumptions'!$D$14</x:f>
        <x:v>3393.2859375000003</x:v>
      </x:c>
      <x:c r="R26" s="27" t="n">
        <x:f>R25*'Assumptions'!$D$14</x:f>
        <x:v>3973.621640625</x:v>
      </x:c>
      <x:c r="S26" s="27" t="n">
        <x:f>S25*'Assumptions'!$D$14</x:f>
        <x:v>4524.94055859375</x:v>
      </x:c>
      <x:c r="T26" s="27" t="n">
        <x:f>T25*'Assumptions'!$D$14</x:f>
        <x:v>5048.693530664063</x:v>
      </x:c>
      <x:c r="U26" s="27" t="n">
        <x:f>U25*'Assumptions'!$D$14</x:f>
        <x:v>5546.25885413086</x:v>
      </x:c>
      <x:c r="V26" s="27" t="n">
        <x:f>V25*'Assumptions'!$D$14</x:f>
        <x:v>6018.945911424317</x:v>
      </x:c>
      <x:c r="W26" s="27" t="n">
        <x:f>W25*'Assumptions'!$D$14</x:f>
        <x:v>6467.998615853101</x:v>
      </x:c>
      <x:c r="X26" s="27" t="n">
        <x:f>X25*'Assumptions'!$D$14</x:f>
        <x:v>6894.598685060446</x:v>
      </x:c>
      <x:c r="Y26" s="27" t="n">
        <x:f>Y25*'Assumptions'!$D$14</x:f>
        <x:v>7299.868750807424</x:v>
      </x:c>
      <x:c r="Z26" s="27" t="n">
        <x:f>Z25*'Assumptions'!$D$14</x:f>
        <x:v>7684.875313267053</x:v>
      </x:c>
      <x:c r="AA26" s="27" t="n">
        <x:f>AA25*'Assumptions'!$D$14</x:f>
        <x:v>8050.631547603701</x:v>
      </x:c>
      <x:c r="AB26" s="27" t="n">
        <x:f>AB25*'Assumptions'!$D$14</x:f>
        <x:v>8398.099970223515</x:v>
      </x:c>
      <x:c r="AC26" s="27" t="n">
        <x:f>AC25*'Assumptions'!$D$14</x:f>
        <x:v>8728.194971712339</x:v>
      </x:c>
      <x:c r="AD26" s="27" t="n">
        <x:f>AD25*'Assumptions'!$D$14</x:f>
        <x:v>9041.785223126722</x:v>
      </x:c>
      <x:c r="AE26" s="27" t="n">
        <x:f>AE25*'Assumptions'!$D$14</x:f>
        <x:v>9339.695961970387</x:v>
      </x:c>
      <x:c r="AF26" s="27" t="n">
        <x:f>AF25*'Assumptions'!$D$14</x:f>
        <x:v>9622.711163871867</x:v>
      </x:c>
      <x:c r="AG26" s="27" t="n">
        <x:f>AG25*'Assumptions'!$D$14</x:f>
        <x:v>9891.575605678274</x:v>
      </x:c>
      <x:c r="AH26" s="27" t="n">
        <x:f>AH25*'Assumptions'!$D$14</x:f>
        <x:v>10146.99682539436</x:v>
      </x:c>
      <x:c r="AI26" s="27" t="n">
        <x:f>AI25*'Assumptions'!$D$14</x:f>
        <x:v>10389.646984124643</x:v>
      </x:c>
      <x:c r="AJ26" s="27" t="n">
        <x:f>AJ25*'Assumptions'!$D$14</x:f>
        <x:v>10620.16463491841</x:v>
      </x:c>
      <x:c r="AK26" s="27" t="n">
        <x:f>AK25*'Assumptions'!$D$14</x:f>
        <x:v>10839.156403172488</x:v>
      </x:c>
      <x:c r="AL26" s="27" t="n">
        <x:f>AL25*'Assumptions'!$D$14</x:f>
        <x:v>11047.198583013864</x:v>
      </x:c>
      <x:c r="AM26" s="27" t="n">
        <x:f>AM25*'Assumptions'!$D$14</x:f>
        <x:v>11244.838653863171</x:v>
      </x:c>
    </x:row>
    <x:row r="27" ht="22" customHeight="1">
      <x:c r="A27" s="1"/>
      <x:c r="B27" s="1"/>
      <x:c r="C27" s="1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  <x:c r="AH27" s="12"/>
      <x:c r="AI27" s="12"/>
      <x:c r="AJ27" s="12"/>
      <x:c r="AK27" s="12"/>
      <x:c r="AL27" s="12"/>
      <x:c r="AM27" s="12"/>
    </x:row>
    <x:row r="28" ht="22" customHeight="1">
      <x:c r="A28" s="1"/>
      <x:c r="B28" s="1"/>
      <x:c r="C28" s="1" t="str">
        <x:v>Website sessions</x:v>
      </x:c>
      <x:c r="D28" s="27" t="n">
        <x:f>IF(ISNUMBER('Assumptions'!D54),'Assumptions'!D54,NA())</x:f>
        <x:v>2000</x:v>
      </x:c>
      <x:c r="E28" s="27" t="n">
        <x:f>IF(ISNUMBER('Assumptions'!E54),'Assumptions'!E54,NA())</x:f>
        <x:v>2750</x:v>
      </x:c>
      <x:c r="F28" s="27" t="n">
        <x:f>IF(ISNUMBER('Assumptions'!F54),'Assumptions'!F54,NA())</x:f>
        <x:v>3500</x:v>
      </x:c>
      <x:c r="G28" s="27" t="n">
        <x:f>IF(ISNUMBER('Assumptions'!G54),'Assumptions'!G54,NA())</x:f>
        <x:v>4250</x:v>
      </x:c>
      <x:c r="H28" s="27" t="n">
        <x:f>IF(ISNUMBER('Assumptions'!H54),'Assumptions'!H54,NA())</x:f>
        <x:v>5000</x:v>
      </x:c>
      <x:c r="I28" s="27" t="n">
        <x:f>IF(ISNUMBER('Assumptions'!I54),'Assumptions'!I54,NA())</x:f>
        <x:v>5750</x:v>
      </x:c>
      <x:c r="J28" s="27" t="n">
        <x:f>IF(ISNUMBER('Assumptions'!J54),'Assumptions'!J54,NA())</x:f>
        <x:v>6500</x:v>
      </x:c>
      <x:c r="K28" s="27" t="n">
        <x:f>IF(ISNUMBER('Assumptions'!K54),'Assumptions'!K54,NA())</x:f>
        <x:v>7250</x:v>
      </x:c>
      <x:c r="L28" s="27" t="n">
        <x:f>IF(ISNUMBER('Assumptions'!L54),'Assumptions'!L54,NA())</x:f>
        <x:v>8000</x:v>
      </x:c>
      <x:c r="M28" s="27" t="n">
        <x:f>IF(ISNUMBER('Assumptions'!M54),'Assumptions'!M54,NA())</x:f>
        <x:v>8750</x:v>
      </x:c>
      <x:c r="N28" s="27" t="n">
        <x:f>IF(ISNUMBER('Assumptions'!N54),'Assumptions'!N54,NA())</x:f>
        <x:v>9500</x:v>
      </x:c>
      <x:c r="O28" s="27" t="n">
        <x:f>IF(ISNUMBER('Assumptions'!O54),'Assumptions'!O54,NA())</x:f>
        <x:v>10250</x:v>
      </x:c>
      <x:c r="P28" s="27" t="n">
        <x:f>IF(ISNUMBER('Assumptions'!P54),'Assumptions'!P54,NA())</x:f>
        <x:v>11000</x:v>
      </x:c>
      <x:c r="Q28" s="27" t="n">
        <x:f>IF(ISNUMBER('Assumptions'!Q54),'Assumptions'!Q54,NA())</x:f>
        <x:v>12500</x:v>
      </x:c>
      <x:c r="R28" s="27" t="n">
        <x:f>IF(ISNUMBER('Assumptions'!R54),'Assumptions'!R54,NA())</x:f>
        <x:v>14000</x:v>
      </x:c>
      <x:c r="S28" s="27" t="n">
        <x:f>IF(ISNUMBER('Assumptions'!S54),'Assumptions'!S54,NA())</x:f>
        <x:v>15500</x:v>
      </x:c>
      <x:c r="T28" s="27" t="n">
        <x:f>IF(ISNUMBER('Assumptions'!T54),'Assumptions'!T54,NA())</x:f>
        <x:v>17000</x:v>
      </x:c>
      <x:c r="U28" s="27" t="n">
        <x:f>IF(ISNUMBER('Assumptions'!U54),'Assumptions'!U54,NA())</x:f>
        <x:v>18500</x:v>
      </x:c>
      <x:c r="V28" s="27" t="n">
        <x:f>IF(ISNUMBER('Assumptions'!V54),'Assumptions'!V54,NA())</x:f>
        <x:v>20000</x:v>
      </x:c>
      <x:c r="W28" s="27" t="n">
        <x:f>IF(ISNUMBER('Assumptions'!W54),'Assumptions'!W54,NA())</x:f>
        <x:v>21500</x:v>
      </x:c>
      <x:c r="X28" s="27" t="n">
        <x:f>IF(ISNUMBER('Assumptions'!X54),'Assumptions'!X54,NA())</x:f>
        <x:v>23000</x:v>
      </x:c>
      <x:c r="Y28" s="27" t="n">
        <x:f>IF(ISNUMBER('Assumptions'!Y54),'Assumptions'!Y54,NA())</x:f>
        <x:v>24500</x:v>
      </x:c>
      <x:c r="Z28" s="27" t="n">
        <x:f>IF(ISNUMBER('Assumptions'!Z54),'Assumptions'!Z54,NA())</x:f>
        <x:v>26000</x:v>
      </x:c>
      <x:c r="AA28" s="27" t="n">
        <x:f>IF(ISNUMBER('Assumptions'!AA54),'Assumptions'!AA54,NA())</x:f>
        <x:v>27500</x:v>
      </x:c>
      <x:c r="AB28" s="27" t="n">
        <x:f>IF(ISNUMBER('Assumptions'!AB54),'Assumptions'!AB54,NA())</x:f>
        <x:v>29000</x:v>
      </x:c>
      <x:c r="AC28" s="27" t="n">
        <x:f>IF(ISNUMBER('Assumptions'!AC54),'Assumptions'!AC54,NA())</x:f>
        <x:v>31500</x:v>
      </x:c>
      <x:c r="AD28" s="27" t="n">
        <x:f>IF(ISNUMBER('Assumptions'!AD54),'Assumptions'!AD54,NA())</x:f>
        <x:v>34000</x:v>
      </x:c>
      <x:c r="AE28" s="27" t="n">
        <x:f>IF(ISNUMBER('Assumptions'!AE54),'Assumptions'!AE54,NA())</x:f>
        <x:v>36500</x:v>
      </x:c>
      <x:c r="AF28" s="27" t="n">
        <x:f>IF(ISNUMBER('Assumptions'!AF54),'Assumptions'!AF54,NA())</x:f>
        <x:v>39000</x:v>
      </x:c>
      <x:c r="AG28" s="27" t="n">
        <x:f>IF(ISNUMBER('Assumptions'!AG54),'Assumptions'!AG54,NA())</x:f>
        <x:v>41500</x:v>
      </x:c>
      <x:c r="AH28" s="27" t="n">
        <x:f>IF(ISNUMBER('Assumptions'!AH54),'Assumptions'!AH54,NA())</x:f>
        <x:v>44000</x:v>
      </x:c>
      <x:c r="AI28" s="27" t="n">
        <x:f>IF(ISNUMBER('Assumptions'!AI54),'Assumptions'!AI54,NA())</x:f>
        <x:v>46500</x:v>
      </x:c>
      <x:c r="AJ28" s="27" t="n">
        <x:f>IF(ISNUMBER('Assumptions'!AJ54),'Assumptions'!AJ54,NA())</x:f>
        <x:v>49000</x:v>
      </x:c>
      <x:c r="AK28" s="27" t="n">
        <x:f>IF(ISNUMBER('Assumptions'!AK54),'Assumptions'!AK54,NA())</x:f>
        <x:v>51500</x:v>
      </x:c>
      <x:c r="AL28" s="27" t="n">
        <x:f>IF(ISNUMBER('Assumptions'!AL54),'Assumptions'!AL54,NA())</x:f>
        <x:v>54000</x:v>
      </x:c>
      <x:c r="AM28" s="27" t="n">
        <x:f>IF(ISNUMBER('Assumptions'!AM54),'Assumptions'!AM54,NA())</x:f>
        <x:v>56500</x:v>
      </x:c>
    </x:row>
    <x:row r="29" ht="22" customHeight="1">
      <x:c r="A29" s="1"/>
      <x:c r="B29" s="1"/>
      <x:c r="C29" s="1" t="str">
        <x:v>Owner enquiries</x:v>
      </x:c>
      <x:c r="D29" s="29" t="n">
        <x:f>D28*'Assumptions'!$D$17</x:f>
        <x:v>10</x:v>
      </x:c>
      <x:c r="E29" s="29" t="n">
        <x:f>E28*'Assumptions'!$D$17</x:f>
        <x:v>13.75</x:v>
      </x:c>
      <x:c r="F29" s="29" t="n">
        <x:f>F28*'Assumptions'!$D$17</x:f>
        <x:v>17.5</x:v>
      </x:c>
      <x:c r="G29" s="29" t="n">
        <x:f>G28*'Assumptions'!$D$17</x:f>
        <x:v>21.25</x:v>
      </x:c>
      <x:c r="H29" s="29" t="n">
        <x:f>H28*'Assumptions'!$D$17</x:f>
        <x:v>25</x:v>
      </x:c>
      <x:c r="I29" s="29" t="n">
        <x:f>I28*'Assumptions'!$D$17</x:f>
        <x:v>28.75</x:v>
      </x:c>
      <x:c r="J29" s="29" t="n">
        <x:f>J28*'Assumptions'!$D$17</x:f>
        <x:v>32.5</x:v>
      </x:c>
      <x:c r="K29" s="29" t="n">
        <x:f>K28*'Assumptions'!$D$17</x:f>
        <x:v>36.25</x:v>
      </x:c>
      <x:c r="L29" s="29" t="n">
        <x:f>L28*'Assumptions'!$D$17</x:f>
        <x:v>40</x:v>
      </x:c>
      <x:c r="M29" s="29" t="n">
        <x:f>M28*'Assumptions'!$D$17</x:f>
        <x:v>43.75</x:v>
      </x:c>
      <x:c r="N29" s="29" t="n">
        <x:f>N28*'Assumptions'!$D$17</x:f>
        <x:v>47.5</x:v>
      </x:c>
      <x:c r="O29" s="29" t="n">
        <x:f>O28*'Assumptions'!$D$17</x:f>
        <x:v>51.25</x:v>
      </x:c>
      <x:c r="P29" s="29" t="n">
        <x:f>P28*'Assumptions'!$D$17</x:f>
        <x:v>55</x:v>
      </x:c>
      <x:c r="Q29" s="29" t="n">
        <x:f>Q28*'Assumptions'!$D$17</x:f>
        <x:v>62.5</x:v>
      </x:c>
      <x:c r="R29" s="29" t="n">
        <x:f>R28*'Assumptions'!$D$17</x:f>
        <x:v>70</x:v>
      </x:c>
      <x:c r="S29" s="29" t="n">
        <x:f>S28*'Assumptions'!$D$17</x:f>
        <x:v>77.5</x:v>
      </x:c>
      <x:c r="T29" s="29" t="n">
        <x:f>T28*'Assumptions'!$D$17</x:f>
        <x:v>85</x:v>
      </x:c>
      <x:c r="U29" s="29" t="n">
        <x:f>U28*'Assumptions'!$D$17</x:f>
        <x:v>92.5</x:v>
      </x:c>
      <x:c r="V29" s="29" t="n">
        <x:f>V28*'Assumptions'!$D$17</x:f>
        <x:v>100</x:v>
      </x:c>
      <x:c r="W29" s="29" t="n">
        <x:f>W28*'Assumptions'!$D$17</x:f>
        <x:v>107.5</x:v>
      </x:c>
      <x:c r="X29" s="29" t="n">
        <x:f>X28*'Assumptions'!$D$17</x:f>
        <x:v>115</x:v>
      </x:c>
      <x:c r="Y29" s="29" t="n">
        <x:f>Y28*'Assumptions'!$D$17</x:f>
        <x:v>122.5</x:v>
      </x:c>
      <x:c r="Z29" s="29" t="n">
        <x:f>Z28*'Assumptions'!$D$17</x:f>
        <x:v>130</x:v>
      </x:c>
      <x:c r="AA29" s="29" t="n">
        <x:f>AA28*'Assumptions'!$D$17</x:f>
        <x:v>137.5</x:v>
      </x:c>
      <x:c r="AB29" s="29" t="n">
        <x:f>AB28*'Assumptions'!$D$17</x:f>
        <x:v>145</x:v>
      </x:c>
      <x:c r="AC29" s="29" t="n">
        <x:f>AC28*'Assumptions'!$D$17</x:f>
        <x:v>157.5</x:v>
      </x:c>
      <x:c r="AD29" s="29" t="n">
        <x:f>AD28*'Assumptions'!$D$17</x:f>
        <x:v>170</x:v>
      </x:c>
      <x:c r="AE29" s="29" t="n">
        <x:f>AE28*'Assumptions'!$D$17</x:f>
        <x:v>182.5</x:v>
      </x:c>
      <x:c r="AF29" s="29" t="n">
        <x:f>AF28*'Assumptions'!$D$17</x:f>
        <x:v>195</x:v>
      </x:c>
      <x:c r="AG29" s="29" t="n">
        <x:f>AG28*'Assumptions'!$D$17</x:f>
        <x:v>207.5</x:v>
      </x:c>
      <x:c r="AH29" s="29" t="n">
        <x:f>AH28*'Assumptions'!$D$17</x:f>
        <x:v>220</x:v>
      </x:c>
      <x:c r="AI29" s="29" t="n">
        <x:f>AI28*'Assumptions'!$D$17</x:f>
        <x:v>232.5</x:v>
      </x:c>
      <x:c r="AJ29" s="29" t="n">
        <x:f>AJ28*'Assumptions'!$D$17</x:f>
        <x:v>245</x:v>
      </x:c>
      <x:c r="AK29" s="29" t="n">
        <x:f>AK28*'Assumptions'!$D$17</x:f>
        <x:v>257.5</x:v>
      </x:c>
      <x:c r="AL29" s="29" t="n">
        <x:f>AL28*'Assumptions'!$D$17</x:f>
        <x:v>270</x:v>
      </x:c>
      <x:c r="AM29" s="29" t="n">
        <x:f>AM28*'Assumptions'!$D$17</x:f>
        <x:v>282.5</x:v>
      </x:c>
    </x:row>
    <x:row r="30" ht="22" customHeight="1">
      <x:c r="A30" s="1"/>
      <x:c r="B30" s="1"/>
      <x:c r="C30" s="1" t="str">
        <x:v>Valid enquiries</x:v>
      </x:c>
      <x:c r="D30" s="29" t="n">
        <x:f>D29*'Assumptions'!$D$18</x:f>
        <x:v>6</x:v>
      </x:c>
      <x:c r="E30" s="29" t="n">
        <x:f>E29*'Assumptions'!$D$18</x:f>
        <x:v>8.25</x:v>
      </x:c>
      <x:c r="F30" s="29" t="n">
        <x:f>F29*'Assumptions'!$D$18</x:f>
        <x:v>10.5</x:v>
      </x:c>
      <x:c r="G30" s="29" t="n">
        <x:f>G29*'Assumptions'!$D$18</x:f>
        <x:v>12.75</x:v>
      </x:c>
      <x:c r="H30" s="29" t="n">
        <x:f>H29*'Assumptions'!$D$18</x:f>
        <x:v>15</x:v>
      </x:c>
      <x:c r="I30" s="29" t="n">
        <x:f>I29*'Assumptions'!$D$18</x:f>
        <x:v>17.25</x:v>
      </x:c>
      <x:c r="J30" s="29" t="n">
        <x:f>J29*'Assumptions'!$D$18</x:f>
        <x:v>19.5</x:v>
      </x:c>
      <x:c r="K30" s="29" t="n">
        <x:f>K29*'Assumptions'!$D$18</x:f>
        <x:v>21.75</x:v>
      </x:c>
      <x:c r="L30" s="29" t="n">
        <x:f>L29*'Assumptions'!$D$18</x:f>
        <x:v>24</x:v>
      </x:c>
      <x:c r="M30" s="29" t="n">
        <x:f>M29*'Assumptions'!$D$18</x:f>
        <x:v>26.25</x:v>
      </x:c>
      <x:c r="N30" s="29" t="n">
        <x:f>N29*'Assumptions'!$D$18</x:f>
        <x:v>28.5</x:v>
      </x:c>
      <x:c r="O30" s="29" t="n">
        <x:f>O29*'Assumptions'!$D$18</x:f>
        <x:v>30.75</x:v>
      </x:c>
      <x:c r="P30" s="29" t="n">
        <x:f>P29*'Assumptions'!$D$18</x:f>
        <x:v>33</x:v>
      </x:c>
      <x:c r="Q30" s="29" t="n">
        <x:f>Q29*'Assumptions'!$D$18</x:f>
        <x:v>37.5</x:v>
      </x:c>
      <x:c r="R30" s="29" t="n">
        <x:f>R29*'Assumptions'!$D$18</x:f>
        <x:v>42</x:v>
      </x:c>
      <x:c r="S30" s="29" t="n">
        <x:f>S29*'Assumptions'!$D$18</x:f>
        <x:v>46.5</x:v>
      </x:c>
      <x:c r="T30" s="29" t="n">
        <x:f>T29*'Assumptions'!$D$18</x:f>
        <x:v>51</x:v>
      </x:c>
      <x:c r="U30" s="29" t="n">
        <x:f>U29*'Assumptions'!$D$18</x:f>
        <x:v>55.5</x:v>
      </x:c>
      <x:c r="V30" s="29" t="n">
        <x:f>V29*'Assumptions'!$D$18</x:f>
        <x:v>60</x:v>
      </x:c>
      <x:c r="W30" s="29" t="n">
        <x:f>W29*'Assumptions'!$D$18</x:f>
        <x:v>64.5</x:v>
      </x:c>
      <x:c r="X30" s="29" t="n">
        <x:f>X29*'Assumptions'!$D$18</x:f>
        <x:v>69</x:v>
      </x:c>
      <x:c r="Y30" s="29" t="n">
        <x:f>Y29*'Assumptions'!$D$18</x:f>
        <x:v>73.5</x:v>
      </x:c>
      <x:c r="Z30" s="29" t="n">
        <x:f>Z29*'Assumptions'!$D$18</x:f>
        <x:v>78</x:v>
      </x:c>
      <x:c r="AA30" s="29" t="n">
        <x:f>AA29*'Assumptions'!$D$18</x:f>
        <x:v>82.5</x:v>
      </x:c>
      <x:c r="AB30" s="29" t="n">
        <x:f>AB29*'Assumptions'!$D$18</x:f>
        <x:v>87</x:v>
      </x:c>
      <x:c r="AC30" s="29" t="n">
        <x:f>AC29*'Assumptions'!$D$18</x:f>
        <x:v>94.5</x:v>
      </x:c>
      <x:c r="AD30" s="29" t="n">
        <x:f>AD29*'Assumptions'!$D$18</x:f>
        <x:v>102</x:v>
      </x:c>
      <x:c r="AE30" s="29" t="n">
        <x:f>AE29*'Assumptions'!$D$18</x:f>
        <x:v>109.5</x:v>
      </x:c>
      <x:c r="AF30" s="29" t="n">
        <x:f>AF29*'Assumptions'!$D$18</x:f>
        <x:v>117</x:v>
      </x:c>
      <x:c r="AG30" s="29" t="n">
        <x:f>AG29*'Assumptions'!$D$18</x:f>
        <x:v>124.5</x:v>
      </x:c>
      <x:c r="AH30" s="29" t="n">
        <x:f>AH29*'Assumptions'!$D$18</x:f>
        <x:v>132</x:v>
      </x:c>
      <x:c r="AI30" s="29" t="n">
        <x:f>AI29*'Assumptions'!$D$18</x:f>
        <x:v>139.5</x:v>
      </x:c>
      <x:c r="AJ30" s="29" t="n">
        <x:f>AJ29*'Assumptions'!$D$18</x:f>
        <x:v>147</x:v>
      </x:c>
      <x:c r="AK30" s="29" t="n">
        <x:f>AK29*'Assumptions'!$D$18</x:f>
        <x:v>154.5</x:v>
      </x:c>
      <x:c r="AL30" s="29" t="n">
        <x:f>AL29*'Assumptions'!$D$18</x:f>
        <x:v>162</x:v>
      </x:c>
      <x:c r="AM30" s="29" t="n">
        <x:f>AM29*'Assumptions'!$D$18</x:f>
        <x:v>169.5</x:v>
      </x:c>
    </x:row>
    <x:row r="31" ht="22" customHeight="1">
      <x:c r="A31" s="1"/>
      <x:c r="B31" s="1"/>
      <x:c r="C31" s="1" t="str">
        <x:v>Potential sold leads</x:v>
      </x:c>
      <x:c r="D31" s="29" t="n">
        <x:f>D30*'Assumptions'!$D$19</x:f>
        <x:v>3</x:v>
      </x:c>
      <x:c r="E31" s="29" t="n">
        <x:f>E30*'Assumptions'!$D$19</x:f>
        <x:v>4.125</x:v>
      </x:c>
      <x:c r="F31" s="29" t="n">
        <x:f>F30*'Assumptions'!$D$19</x:f>
        <x:v>5.25</x:v>
      </x:c>
      <x:c r="G31" s="29" t="n">
        <x:f>G30*'Assumptions'!$D$19</x:f>
        <x:v>6.375</x:v>
      </x:c>
      <x:c r="H31" s="29" t="n">
        <x:f>H30*'Assumptions'!$D$19</x:f>
        <x:v>7.5</x:v>
      </x:c>
      <x:c r="I31" s="29" t="n">
        <x:f>I30*'Assumptions'!$D$19</x:f>
        <x:v>8.625</x:v>
      </x:c>
      <x:c r="J31" s="29" t="n">
        <x:f>J30*'Assumptions'!$D$19</x:f>
        <x:v>9.75</x:v>
      </x:c>
      <x:c r="K31" s="29" t="n">
        <x:f>K30*'Assumptions'!$D$19</x:f>
        <x:v>10.875</x:v>
      </x:c>
      <x:c r="L31" s="29" t="n">
        <x:f>L30*'Assumptions'!$D$19</x:f>
        <x:v>12</x:v>
      </x:c>
      <x:c r="M31" s="29" t="n">
        <x:f>M30*'Assumptions'!$D$19</x:f>
        <x:v>13.125</x:v>
      </x:c>
      <x:c r="N31" s="29" t="n">
        <x:f>N30*'Assumptions'!$D$19</x:f>
        <x:v>14.25</x:v>
      </x:c>
      <x:c r="O31" s="29" t="n">
        <x:f>O30*'Assumptions'!$D$19</x:f>
        <x:v>15.375</x:v>
      </x:c>
      <x:c r="P31" s="29" t="n">
        <x:f>P30*'Assumptions'!$D$19</x:f>
        <x:v>16.5</x:v>
      </x:c>
      <x:c r="Q31" s="29" t="n">
        <x:f>Q30*'Assumptions'!$D$19</x:f>
        <x:v>18.75</x:v>
      </x:c>
      <x:c r="R31" s="29" t="n">
        <x:f>R30*'Assumptions'!$D$19</x:f>
        <x:v>21</x:v>
      </x:c>
      <x:c r="S31" s="29" t="n">
        <x:f>S30*'Assumptions'!$D$19</x:f>
        <x:v>23.25</x:v>
      </x:c>
      <x:c r="T31" s="29" t="n">
        <x:f>T30*'Assumptions'!$D$19</x:f>
        <x:v>25.5</x:v>
      </x:c>
      <x:c r="U31" s="29" t="n">
        <x:f>U30*'Assumptions'!$D$19</x:f>
        <x:v>27.75</x:v>
      </x:c>
      <x:c r="V31" s="29" t="n">
        <x:f>V30*'Assumptions'!$D$19</x:f>
        <x:v>30</x:v>
      </x:c>
      <x:c r="W31" s="29" t="n">
        <x:f>W30*'Assumptions'!$D$19</x:f>
        <x:v>32.25</x:v>
      </x:c>
      <x:c r="X31" s="29" t="n">
        <x:f>X30*'Assumptions'!$D$19</x:f>
        <x:v>34.5</x:v>
      </x:c>
      <x:c r="Y31" s="29" t="n">
        <x:f>Y30*'Assumptions'!$D$19</x:f>
        <x:v>36.75</x:v>
      </x:c>
      <x:c r="Z31" s="29" t="n">
        <x:f>Z30*'Assumptions'!$D$19</x:f>
        <x:v>39</x:v>
      </x:c>
      <x:c r="AA31" s="29" t="n">
        <x:f>AA30*'Assumptions'!$D$19</x:f>
        <x:v>41.25</x:v>
      </x:c>
      <x:c r="AB31" s="29" t="n">
        <x:f>AB30*'Assumptions'!$D$19</x:f>
        <x:v>43.5</x:v>
      </x:c>
      <x:c r="AC31" s="29" t="n">
        <x:f>AC30*'Assumptions'!$D$19</x:f>
        <x:v>47.25</x:v>
      </x:c>
      <x:c r="AD31" s="29" t="n">
        <x:f>AD30*'Assumptions'!$D$19</x:f>
        <x:v>51</x:v>
      </x:c>
      <x:c r="AE31" s="29" t="n">
        <x:f>AE30*'Assumptions'!$D$19</x:f>
        <x:v>54.75</x:v>
      </x:c>
      <x:c r="AF31" s="29" t="n">
        <x:f>AF30*'Assumptions'!$D$19</x:f>
        <x:v>58.5</x:v>
      </x:c>
      <x:c r="AG31" s="29" t="n">
        <x:f>AG30*'Assumptions'!$D$19</x:f>
        <x:v>62.25</x:v>
      </x:c>
      <x:c r="AH31" s="29" t="n">
        <x:f>AH30*'Assumptions'!$D$19</x:f>
        <x:v>66</x:v>
      </x:c>
      <x:c r="AI31" s="29" t="n">
        <x:f>AI30*'Assumptions'!$D$19</x:f>
        <x:v>69.75</x:v>
      </x:c>
      <x:c r="AJ31" s="29" t="n">
        <x:f>AJ30*'Assumptions'!$D$19</x:f>
        <x:v>73.5</x:v>
      </x:c>
      <x:c r="AK31" s="29" t="n">
        <x:f>AK30*'Assumptions'!$D$19</x:f>
        <x:v>77.25</x:v>
      </x:c>
      <x:c r="AL31" s="29" t="n">
        <x:f>AL30*'Assumptions'!$D$19</x:f>
        <x:v>81</x:v>
      </x:c>
      <x:c r="AM31" s="29" t="n">
        <x:f>AM30*'Assumptions'!$D$19</x:f>
        <x:v>84.75</x:v>
      </x:c>
    </x:row>
    <x:row r="32" ht="22" customHeight="1">
      <x:c r="A32" s="1"/>
      <x:c r="B32" s="1"/>
      <x:c r="C32" s="1" t="str">
        <x:v>Accepted paid leads within capacity</x:v>
      </x:c>
      <x:c r="D32" s="29" t="n">
        <x:f>IF(1&gt;='Assumptions'!$D$41,MIN(D31,D12*'Assumptions'!$D$20),0)</x:f>
        <x:v>0</x:v>
      </x:c>
      <x:c r="E32" s="29" t="n">
        <x:f>IF(2&gt;='Assumptions'!$D$41,MIN(E31,E12*'Assumptions'!$D$20),0)</x:f>
        <x:v>0</x:v>
      </x:c>
      <x:c r="F32" s="29" t="n">
        <x:f>IF(3&gt;='Assumptions'!$D$41,MIN(F31,F12*'Assumptions'!$D$20),0)</x:f>
        <x:v>0</x:v>
      </x:c>
      <x:c r="G32" s="29" t="n">
        <x:f>IF(4&gt;='Assumptions'!$D$41,MIN(G31,G12*'Assumptions'!$D$20),0)</x:f>
        <x:v>0</x:v>
      </x:c>
      <x:c r="H32" s="29" t="n">
        <x:f>IF(5&gt;='Assumptions'!$D$41,MIN(H31,H12*'Assumptions'!$D$20),0)</x:f>
        <x:v>0</x:v>
      </x:c>
      <x:c r="I32" s="29" t="n">
        <x:f>IF(6&gt;='Assumptions'!$D$41,MIN(I31,I12*'Assumptions'!$D$20),0)</x:f>
        <x:v>0</x:v>
      </x:c>
      <x:c r="J32" s="29" t="n">
        <x:f>IF(7&gt;='Assumptions'!$D$41,MIN(J31,J12*'Assumptions'!$D$20),0)</x:f>
        <x:v>0</x:v>
      </x:c>
      <x:c r="K32" s="29" t="n">
        <x:f>IF(8&gt;='Assumptions'!$D$41,MIN(K31,K12*'Assumptions'!$D$20),0)</x:f>
        <x:v>0</x:v>
      </x:c>
      <x:c r="L32" s="29" t="n">
        <x:f>IF(9&gt;='Assumptions'!$D$41,MIN(L31,L12*'Assumptions'!$D$20),0)</x:f>
        <x:v>0</x:v>
      </x:c>
      <x:c r="M32" s="29" t="n">
        <x:f>IF(10&gt;='Assumptions'!$D$41,MIN(M31,M12*'Assumptions'!$D$20),0)</x:f>
        <x:v>13.125</x:v>
      </x:c>
      <x:c r="N32" s="29" t="n">
        <x:f>IF(11&gt;='Assumptions'!$D$41,MIN(N31,N12*'Assumptions'!$D$20),0)</x:f>
        <x:v>14.25</x:v>
      </x:c>
      <x:c r="O32" s="29" t="n">
        <x:f>IF(12&gt;='Assumptions'!$D$41,MIN(O31,O12*'Assumptions'!$D$20),0)</x:f>
        <x:v>15.375</x:v>
      </x:c>
      <x:c r="P32" s="29" t="n">
        <x:f>IF(13&gt;='Assumptions'!$D$41,MIN(P31,P12*'Assumptions'!$D$20),0)</x:f>
        <x:v>16.5</x:v>
      </x:c>
      <x:c r="Q32" s="29" t="n">
        <x:f>IF(14&gt;='Assumptions'!$D$41,MIN(Q31,Q12*'Assumptions'!$D$20),0)</x:f>
        <x:v>18.75</x:v>
      </x:c>
      <x:c r="R32" s="29" t="n">
        <x:f>IF(15&gt;='Assumptions'!$D$41,MIN(R31,R12*'Assumptions'!$D$20),0)</x:f>
        <x:v>21</x:v>
      </x:c>
      <x:c r="S32" s="29" t="n">
        <x:f>IF(16&gt;='Assumptions'!$D$41,MIN(S31,S12*'Assumptions'!$D$20),0)</x:f>
        <x:v>23.25</x:v>
      </x:c>
      <x:c r="T32" s="29" t="n">
        <x:f>IF(17&gt;='Assumptions'!$D$41,MIN(T31,T12*'Assumptions'!$D$20),0)</x:f>
        <x:v>25.5</x:v>
      </x:c>
      <x:c r="U32" s="29" t="n">
        <x:f>IF(18&gt;='Assumptions'!$D$41,MIN(U31,U12*'Assumptions'!$D$20),0)</x:f>
        <x:v>27.75</x:v>
      </x:c>
      <x:c r="V32" s="29" t="n">
        <x:f>IF(19&gt;='Assumptions'!$D$41,MIN(V31,V12*'Assumptions'!$D$20),0)</x:f>
        <x:v>30</x:v>
      </x:c>
      <x:c r="W32" s="29" t="n">
        <x:f>IF(20&gt;='Assumptions'!$D$41,MIN(W31,W12*'Assumptions'!$D$20),0)</x:f>
        <x:v>32.25</x:v>
      </x:c>
      <x:c r="X32" s="29" t="n">
        <x:f>IF(21&gt;='Assumptions'!$D$41,MIN(X31,X12*'Assumptions'!$D$20),0)</x:f>
        <x:v>34.5</x:v>
      </x:c>
      <x:c r="Y32" s="29" t="n">
        <x:f>IF(22&gt;='Assumptions'!$D$41,MIN(Y31,Y12*'Assumptions'!$D$20),0)</x:f>
        <x:v>36.75</x:v>
      </x:c>
      <x:c r="Z32" s="29" t="n">
        <x:f>IF(23&gt;='Assumptions'!$D$41,MIN(Z31,Z12*'Assumptions'!$D$20),0)</x:f>
        <x:v>39</x:v>
      </x:c>
      <x:c r="AA32" s="29" t="n">
        <x:f>IF(24&gt;='Assumptions'!$D$41,MIN(AA31,AA12*'Assumptions'!$D$20),0)</x:f>
        <x:v>41.25</x:v>
      </x:c>
      <x:c r="AB32" s="29" t="n">
        <x:f>IF(25&gt;='Assumptions'!$D$41,MIN(AB31,AB12*'Assumptions'!$D$20),0)</x:f>
        <x:v>43.5</x:v>
      </x:c>
      <x:c r="AC32" s="29" t="n">
        <x:f>IF(26&gt;='Assumptions'!$D$41,MIN(AC31,AC12*'Assumptions'!$D$20),0)</x:f>
        <x:v>47.25</x:v>
      </x:c>
      <x:c r="AD32" s="29" t="n">
        <x:f>IF(27&gt;='Assumptions'!$D$41,MIN(AD31,AD12*'Assumptions'!$D$20),0)</x:f>
        <x:v>51</x:v>
      </x:c>
      <x:c r="AE32" s="29" t="n">
        <x:f>IF(28&gt;='Assumptions'!$D$41,MIN(AE31,AE12*'Assumptions'!$D$20),0)</x:f>
        <x:v>54.75</x:v>
      </x:c>
      <x:c r="AF32" s="29" t="n">
        <x:f>IF(29&gt;='Assumptions'!$D$41,MIN(AF31,AF12*'Assumptions'!$D$20),0)</x:f>
        <x:v>58.5</x:v>
      </x:c>
      <x:c r="AG32" s="29" t="n">
        <x:f>IF(30&gt;='Assumptions'!$D$41,MIN(AG31,AG12*'Assumptions'!$D$20),0)</x:f>
        <x:v>62.25</x:v>
      </x:c>
      <x:c r="AH32" s="29" t="n">
        <x:f>IF(31&gt;='Assumptions'!$D$41,MIN(AH31,AH12*'Assumptions'!$D$20),0)</x:f>
        <x:v>66</x:v>
      </x:c>
      <x:c r="AI32" s="29" t="n">
        <x:f>IF(32&gt;='Assumptions'!$D$41,MIN(AI31,AI12*'Assumptions'!$D$20),0)</x:f>
        <x:v>69.75</x:v>
      </x:c>
      <x:c r="AJ32" s="29" t="n">
        <x:f>IF(33&gt;='Assumptions'!$D$41,MIN(AJ31,AJ12*'Assumptions'!$D$20),0)</x:f>
        <x:v>73.5</x:v>
      </x:c>
      <x:c r="AK32" s="29" t="n">
        <x:f>IF(34&gt;='Assumptions'!$D$41,MIN(AK31,AK12*'Assumptions'!$D$20),0)</x:f>
        <x:v>77.25</x:v>
      </x:c>
      <x:c r="AL32" s="29" t="n">
        <x:f>IF(35&gt;='Assumptions'!$D$41,MIN(AL31,AL12*'Assumptions'!$D$20),0)</x:f>
        <x:v>81</x:v>
      </x:c>
      <x:c r="AM32" s="29" t="n">
        <x:f>IF(36&gt;='Assumptions'!$D$41,MIN(AM31,AM12*'Assumptions'!$D$20),0)</x:f>
        <x:v>84.75</x:v>
      </x:c>
    </x:row>
    <x:row r="33" ht="22" customHeight="1">
      <x:c r="A33" s="1"/>
      <x:c r="B33" s="1"/>
      <x:c r="C33" s="1" t="str">
        <x:v>Lead recognised revenue and cash</x:v>
      </x:c>
      <x:c r="D33" s="27" t="n">
        <x:f>D32*'Assumptions'!$D$16</x:f>
        <x:v>0</x:v>
      </x:c>
      <x:c r="E33" s="27" t="n">
        <x:f>E32*'Assumptions'!$D$16</x:f>
        <x:v>0</x:v>
      </x:c>
      <x:c r="F33" s="27" t="n">
        <x:f>F32*'Assumptions'!$D$16</x:f>
        <x:v>0</x:v>
      </x:c>
      <x:c r="G33" s="27" t="n">
        <x:f>G32*'Assumptions'!$D$16</x:f>
        <x:v>0</x:v>
      </x:c>
      <x:c r="H33" s="27" t="n">
        <x:f>H32*'Assumptions'!$D$16</x:f>
        <x:v>0</x:v>
      </x:c>
      <x:c r="I33" s="27" t="n">
        <x:f>I32*'Assumptions'!$D$16</x:f>
        <x:v>0</x:v>
      </x:c>
      <x:c r="J33" s="27" t="n">
        <x:f>J32*'Assumptions'!$D$16</x:f>
        <x:v>0</x:v>
      </x:c>
      <x:c r="K33" s="27" t="n">
        <x:f>K32*'Assumptions'!$D$16</x:f>
        <x:v>0</x:v>
      </x:c>
      <x:c r="L33" s="27" t="n">
        <x:f>L32*'Assumptions'!$D$16</x:f>
        <x:v>0</x:v>
      </x:c>
      <x:c r="M33" s="27" t="n">
        <x:f>M32*'Assumptions'!$D$16</x:f>
        <x:v>525</x:v>
      </x:c>
      <x:c r="N33" s="27" t="n">
        <x:f>N32*'Assumptions'!$D$16</x:f>
        <x:v>570</x:v>
      </x:c>
      <x:c r="O33" s="27" t="n">
        <x:f>O32*'Assumptions'!$D$16</x:f>
        <x:v>615</x:v>
      </x:c>
      <x:c r="P33" s="27" t="n">
        <x:f>P32*'Assumptions'!$D$16</x:f>
        <x:v>660</x:v>
      </x:c>
      <x:c r="Q33" s="27" t="n">
        <x:f>Q32*'Assumptions'!$D$16</x:f>
        <x:v>750</x:v>
      </x:c>
      <x:c r="R33" s="27" t="n">
        <x:f>R32*'Assumptions'!$D$16</x:f>
        <x:v>840</x:v>
      </x:c>
      <x:c r="S33" s="27" t="n">
        <x:f>S32*'Assumptions'!$D$16</x:f>
        <x:v>930</x:v>
      </x:c>
      <x:c r="T33" s="27" t="n">
        <x:f>T32*'Assumptions'!$D$16</x:f>
        <x:v>1020</x:v>
      </x:c>
      <x:c r="U33" s="27" t="n">
        <x:f>U32*'Assumptions'!$D$16</x:f>
        <x:v>1110</x:v>
      </x:c>
      <x:c r="V33" s="27" t="n">
        <x:f>V32*'Assumptions'!$D$16</x:f>
        <x:v>1200</x:v>
      </x:c>
      <x:c r="W33" s="27" t="n">
        <x:f>W32*'Assumptions'!$D$16</x:f>
        <x:v>1290</x:v>
      </x:c>
      <x:c r="X33" s="27" t="n">
        <x:f>X32*'Assumptions'!$D$16</x:f>
        <x:v>1380</x:v>
      </x:c>
      <x:c r="Y33" s="27" t="n">
        <x:f>Y32*'Assumptions'!$D$16</x:f>
        <x:v>1470</x:v>
      </x:c>
      <x:c r="Z33" s="27" t="n">
        <x:f>Z32*'Assumptions'!$D$16</x:f>
        <x:v>1560</x:v>
      </x:c>
      <x:c r="AA33" s="27" t="n">
        <x:f>AA32*'Assumptions'!$D$16</x:f>
        <x:v>1650</x:v>
      </x:c>
      <x:c r="AB33" s="27" t="n">
        <x:f>AB32*'Assumptions'!$D$16</x:f>
        <x:v>1740</x:v>
      </x:c>
      <x:c r="AC33" s="27" t="n">
        <x:f>AC32*'Assumptions'!$D$16</x:f>
        <x:v>1890</x:v>
      </x:c>
      <x:c r="AD33" s="27" t="n">
        <x:f>AD32*'Assumptions'!$D$16</x:f>
        <x:v>2040</x:v>
      </x:c>
      <x:c r="AE33" s="27" t="n">
        <x:f>AE32*'Assumptions'!$D$16</x:f>
        <x:v>2190</x:v>
      </x:c>
      <x:c r="AF33" s="27" t="n">
        <x:f>AF32*'Assumptions'!$D$16</x:f>
        <x:v>2340</x:v>
      </x:c>
      <x:c r="AG33" s="27" t="n">
        <x:f>AG32*'Assumptions'!$D$16</x:f>
        <x:v>2490</x:v>
      </x:c>
      <x:c r="AH33" s="27" t="n">
        <x:f>AH32*'Assumptions'!$D$16</x:f>
        <x:v>2640</x:v>
      </x:c>
      <x:c r="AI33" s="27" t="n">
        <x:f>AI32*'Assumptions'!$D$16</x:f>
        <x:v>2790</x:v>
      </x:c>
      <x:c r="AJ33" s="27" t="n">
        <x:f>AJ32*'Assumptions'!$D$16</x:f>
        <x:v>2940</x:v>
      </x:c>
      <x:c r="AK33" s="27" t="n">
        <x:f>AK32*'Assumptions'!$D$16</x:f>
        <x:v>3090</x:v>
      </x:c>
      <x:c r="AL33" s="27" t="n">
        <x:f>AL32*'Assumptions'!$D$16</x:f>
        <x:v>3240</x:v>
      </x:c>
      <x:c r="AM33" s="27" t="n">
        <x:f>AM32*'Assumptions'!$D$16</x:f>
        <x:v>3390</x:v>
      </x:c>
    </x:row>
    <x:row r="34" ht="22" customHeight="1">
      <x:c r="A34" s="1"/>
      <x:c r="B34" s="1"/>
      <x:c r="C34" s="1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2"/>
      <x:c r="AK34" s="12"/>
      <x:c r="AL34" s="12"/>
      <x:c r="AM34" s="12"/>
    </x:row>
    <x:row r="35" ht="22" customHeight="1">
      <x:c r="A35" s="1"/>
      <x:c r="B35" s="1"/>
      <x:c r="C35" s="17" t="str">
        <x:v>Total recognised revenue</x:v>
      </x:c>
      <x:c r="D35" s="31" t="n">
        <x:f>SUM(D13,D20,D26,D33)</x:f>
        <x:v>0</x:v>
      </x:c>
      <x:c r="E35" s="31" t="n">
        <x:f>SUM(E13,E20,E26,E33)</x:f>
        <x:v>0</x:v>
      </x:c>
      <x:c r="F35" s="31" t="n">
        <x:f>SUM(F13,F20,F26,F33)</x:f>
        <x:v>0</x:v>
      </x:c>
      <x:c r="G35" s="31" t="n">
        <x:f>SUM(G13,G20,G26,G33)</x:f>
        <x:v>600</x:v>
      </x:c>
      <x:c r="H35" s="31" t="n">
        <x:f>SUM(H13,H20,H26,H33)</x:f>
        <x:v>1200</x:v>
      </x:c>
      <x:c r="I35" s="31" t="n">
        <x:f>SUM(I13,I20,I26,I33)</x:f>
        <x:v>1800</x:v>
      </x:c>
      <x:c r="J35" s="31" t="n">
        <x:f>SUM(J13,J20,J26,J33)</x:f>
        <x:v>3325</x:v>
      </x:c>
      <x:c r="K35" s="31" t="n">
        <x:f>SUM(K13,K20,K26,K33)</x:f>
        <x:v>4225</x:v>
      </x:c>
      <x:c r="L35" s="31" t="n">
        <x:f>SUM(L13,L20,L26,L33)</x:f>
        <x:v>5125</x:v>
      </x:c>
      <x:c r="M35" s="31" t="n">
        <x:f>SUM(M13,M20,M26,M33)</x:f>
        <x:v>7925</x:v>
      </x:c>
      <x:c r="N35" s="31" t="n">
        <x:f>SUM(N13,N20,N26,N33)</x:f>
        <x:v>9582.5</x:v>
      </x:c>
      <x:c r="O35" s="31" t="n">
        <x:f>SUM(O13,O20,O26,O33)</x:f>
        <x:v>11204.375</x:v>
      </x:c>
      <x:c r="P35" s="31" t="n">
        <x:f>SUM(P13,P20,P26,P33)</x:f>
        <x:v>13242.40625</x:v>
      </x:c>
      <x:c r="Q35" s="31" t="n">
        <x:f>SUM(Q13,Q20,Q26,Q33)</x:f>
        <x:v>15293.2859375</x:v>
      </x:c>
      <x:c r="R35" s="31" t="n">
        <x:f>SUM(R13,R20,R26,R33)</x:f>
        <x:v>17313.621640625</x:v>
      </x:c>
      <x:c r="S35" s="31" t="n">
        <x:f>SUM(S13,S20,S26,S33)</x:f>
        <x:v>19779.94055859375</x:v>
      </x:c>
      <x:c r="T35" s="31" t="n">
        <x:f>SUM(T13,T20,T26,T33)</x:f>
        <x:v>21593.693530664063</x:v>
      </x:c>
      <x:c r="U35" s="31" t="n">
        <x:f>SUM(U13,U20,U26,U33)</x:f>
        <x:v>23381.258854130858</x:v>
      </x:c>
      <x:c r="V35" s="31" t="n">
        <x:f>SUM(V13,V20,V26,V33)</x:f>
        <x:v>24881.44591142432</x:v>
      </x:c>
      <x:c r="W35" s="31" t="n">
        <x:f>SUM(W13,W20,W26,W33)</x:f>
        <x:v>26545.498615853103</x:v>
      </x:c>
      <x:c r="X35" s="31" t="n">
        <x:f>SUM(X13,X20,X26,X33)</x:f>
        <x:v>28187.098685060446</x:v>
      </x:c>
      <x:c r="Y35" s="31" t="n">
        <x:f>SUM(Y13,Y20,Y26,Y33)</x:f>
        <x:v>30244.86875080742</x:v>
      </x:c>
      <x:c r="Z35" s="31" t="n">
        <x:f>SUM(Z13,Z20,Z26,Z33)</x:f>
        <x:v>31844.875313267054</x:v>
      </x:c>
      <x:c r="AA35" s="31" t="n">
        <x:f>SUM(AA13,AA20,AA26,AA33)</x:f>
        <x:v>33425.6315476037</x:v>
      </x:c>
      <x:c r="AB35" s="31" t="n">
        <x:f>SUM(AB13,AB20,AB26,AB33)</x:f>
        <x:v>35400.59997022351</x:v>
      </x:c>
      <x:c r="AC35" s="31" t="n">
        <x:f>SUM(AC13,AC20,AC26,AC33)</x:f>
        <x:v>37418.194971712335</x:v>
      </x:c>
      <x:c r="AD35" s="31" t="n">
        <x:f>SUM(AD13,AD20,AD26,AD33)</x:f>
        <x:v>39419.285223126724</x:v>
      </x:c>
      <x:c r="AE35" s="31" t="n">
        <x:f>SUM(AE13,AE20,AE26,AE33)</x:f>
        <x:v>41729.695961970385</x:v>
      </x:c>
      <x:c r="AF35" s="31" t="n">
        <x:f>SUM(AF13,AF20,AF26,AF33)</x:f>
        <x:v>43587.71116387186</x:v>
      </x:c>
      <x:c r="AG35" s="31" t="n">
        <x:f>SUM(AG13,AG20,AG26,AG33)</x:f>
        <x:v>45431.57560567827</x:v>
      </x:c>
      <x:c r="AH35" s="31" t="n">
        <x:f>SUM(AH13,AH20,AH26,AH33)</x:f>
        <x:v>47074.49682539436</x:v>
      </x:c>
      <x:c r="AI35" s="31" t="n">
        <x:f>SUM(AI13,AI20,AI26,AI33)</x:f>
        <x:v>48835.89698412464</x:v>
      </x:c>
      <x:c r="AJ35" s="31" t="n">
        <x:f>SUM(AJ13,AJ20,AJ26,AJ33)</x:f>
        <x:v>50585.16463491841</x:v>
      </x:c>
      <x:c r="AK35" s="31" t="n">
        <x:f>SUM(AK13,AK20,AK26,AK33)</x:f>
        <x:v>52629.156403172485</x:v>
      </x:c>
      <x:c r="AL35" s="31" t="n">
        <x:f>SUM(AL13,AL20,AL26,AL33)</x:f>
        <x:v>54355.948583013866</x:v>
      </x:c>
      <x:c r="AM35" s="31" t="n">
        <x:f>SUM(AM13,AM20,AM26,AM33)</x:f>
        <x:v>56072.338653863175</x:v>
      </x:c>
    </x:row>
    <x:row r="36" ht="22" customHeight="1">
      <x:c r="A36" s="1"/>
      <x:c r="B36" s="1"/>
      <x:c r="C36" s="17" t="str">
        <x:v>Total customer cash collections</x:v>
      </x:c>
      <x:c r="D36" s="31" t="n">
        <x:f>SUM(D14,D21,D26,D33)</x:f>
        <x:v>0</x:v>
      </x:c>
      <x:c r="E36" s="31" t="n">
        <x:f>SUM(E14,E21,E26,E33)</x:f>
        <x:v>0</x:v>
      </x:c>
      <x:c r="F36" s="31" t="n">
        <x:f>SUM(F14,F21,F26,F33)</x:f>
        <x:v>0</x:v>
      </x:c>
      <x:c r="G36" s="31" t="n">
        <x:f>SUM(G14,G21,G26,G33)</x:f>
        <x:v>7200</x:v>
      </x:c>
      <x:c r="H36" s="31" t="n">
        <x:f>SUM(H14,H21,H26,H33)</x:f>
        <x:v>7200</x:v>
      </x:c>
      <x:c r="I36" s="31" t="n">
        <x:f>SUM(I14,I21,I26,I33)</x:f>
        <x:v>7200</x:v>
      </x:c>
      <x:c r="J36" s="31" t="n">
        <x:f>SUM(J14,J21,J26,J33)</x:f>
        <x:v>18300</x:v>
      </x:c>
      <x:c r="K36" s="31" t="n">
        <x:f>SUM(K14,K21,K26,K33)</x:f>
        <x:v>10800</x:v>
      </x:c>
      <x:c r="L36" s="31" t="n">
        <x:f>SUM(L14,L21,L26,L33)</x:f>
        <x:v>10800</x:v>
      </x:c>
      <x:c r="M36" s="31" t="n">
        <x:f>SUM(M14,M21,M26,M33)</x:f>
        <x:v>19575</x:v>
      </x:c>
      <x:c r="N36" s="31" t="n">
        <x:f>SUM(N14,N21,N26,N33)</x:f>
        <x:v>12832.5</x:v>
      </x:c>
      <x:c r="O36" s="31" t="n">
        <x:f>SUM(O14,O21,O26,O33)</x:f>
        <x:v>13554.375</x:v>
      </x:c>
      <x:c r="P36" s="31" t="n">
        <x:f>SUM(P14,P21,P26,P33)</x:f>
        <x:v>19642.40625</x:v>
      </x:c>
      <x:c r="Q36" s="31" t="n">
        <x:f>SUM(Q14,Q21,Q26,Q33)</x:f>
        <x:v>20343.2859375</x:v>
      </x:c>
      <x:c r="R36" s="31" t="n">
        <x:f>SUM(R14,R21,R26,R33)</x:f>
        <x:v>21013.621640625</x:v>
      </x:c>
      <x:c r="S36" s="31" t="n">
        <x:f>SUM(S14,S21,S26,S33)</x:f>
        <x:v>34554.94055859375</x:v>
      </x:c>
      <x:c r="T36" s="31" t="n">
        <x:f>SUM(T14,T21,T26,T33)</x:f>
        <x:v>27668.693530664063</x:v>
      </x:c>
      <x:c r="U36" s="31" t="n">
        <x:f>SUM(U14,U21,U26,U33)</x:f>
        <x:v>28256.258854130858</x:v>
      </x:c>
      <x:c r="V36" s="31" t="n">
        <x:f>SUM(V14,V21,V26,V33)</x:f>
        <x:v>36768.945911424315</x:v>
      </x:c>
      <x:c r="W36" s="31" t="n">
        <x:f>SUM(W14,W21,W26,W33)</x:f>
        <x:v>32057.998615853103</x:v>
      </x:c>
      <x:c r="X36" s="31" t="n">
        <x:f>SUM(X14,X21,X26,X33)</x:f>
        <x:v>32574.598685060446</x:v>
      </x:c>
      <x:c r="Y36" s="31" t="n">
        <x:f>SUM(Y14,Y21,Y26,Y33)</x:f>
        <x:v>45819.86875080742</x:v>
      </x:c>
      <x:c r="Z36" s="31" t="n">
        <x:f>SUM(Z14,Z21,Z26,Z33)</x:f>
        <x:v>33544.87531326705</x:v>
      </x:c>
      <x:c r="AA36" s="31" t="n">
        <x:f>SUM(AA14,AA21,AA26,AA33)</x:f>
        <x:v>34000.6315476037</x:v>
      </x:c>
      <x:c r="AB36" s="31" t="n">
        <x:f>SUM(AB14,AB21,AB26,AB33)</x:f>
        <x:v>44788.09997022351</x:v>
      </x:c>
      <x:c r="AC36" s="31" t="n">
        <x:f>SUM(AC14,AC21,AC26,AC33)</x:f>
        <x:v>45268.194971712335</x:v>
      </x:c>
      <x:c r="AD36" s="31" t="n">
        <x:f>SUM(AD14,AD21,AD26,AD33)</x:f>
        <x:v>45731.785223126724</x:v>
      </x:c>
      <x:c r="AE36" s="31" t="n">
        <x:f>SUM(AE14,AE21,AE26,AE33)</x:f>
        <x:v>62979.695961970385</x:v>
      </x:c>
      <x:c r="AF36" s="31" t="n">
        <x:f>SUM(AF14,AF21,AF26,AF33)</x:f>
        <x:v>50662.71116387186</x:v>
      </x:c>
      <x:c r="AG36" s="31" t="n">
        <x:f>SUM(AG14,AG21,AG26,AG33)</x:f>
        <x:v>51081.57560567827</x:v>
      </x:c>
      <x:c r="AH36" s="31" t="n">
        <x:f>SUM(AH14,AH21,AH26,AH33)</x:f>
        <x:v>57186.99682539436</x:v>
      </x:c>
      <x:c r="AI36" s="31" t="n">
        <x:f>SUM(AI14,AI21,AI26,AI33)</x:f>
        <x:v>53904.64698412464</x:v>
      </x:c>
      <x:c r="AJ36" s="31" t="n">
        <x:f>SUM(AJ14,AJ21,AJ26,AJ33)</x:f>
        <x:v>54285.16463491841</x:v>
      </x:c>
      <x:c r="AK36" s="31" t="n">
        <x:f>SUM(AK14,AK21,AK26,AK33)</x:f>
        <x:v>71079.15640317248</x:v>
      </x:c>
      <x:c r="AL36" s="31" t="n">
        <x:f>SUM(AL14,AL21,AL26,AL33)</x:f>
        <x:v>55012.198583013866</x:v>
      </x:c>
      <x:c r="AM36" s="31" t="n">
        <x:f>SUM(AM14,AM21,AM26,AM33)</x:f>
        <x:v>55359.838653863175</x:v>
      </x:c>
    </x:row>
    <x:row r="37" ht="22" customHeight="1">
      <x:c r="A37" s="1"/>
      <x:c r="B37" s="1"/>
      <x:c r="C37" s="1" t="str">
        <x:v>Opening deferred revenue</x:v>
      </x:c>
      <x:c r="D37" s="27" t="n">
        <x:f>'Assumptions'!$D$37</x:f>
        <x:v>0</x:v>
      </x:c>
      <x:c r="E37" s="27" t="n">
        <x:f>D38</x:f>
        <x:v>0</x:v>
      </x:c>
      <x:c r="F37" s="27" t="n">
        <x:f>E38</x:f>
        <x:v>0</x:v>
      </x:c>
      <x:c r="G37" s="27" t="n">
        <x:f>F38</x:f>
        <x:v>0</x:v>
      </x:c>
      <x:c r="H37" s="27" t="n">
        <x:f>G38</x:f>
        <x:v>6600</x:v>
      </x:c>
      <x:c r="I37" s="27" t="n">
        <x:f>H38</x:f>
        <x:v>12600</x:v>
      </x:c>
      <x:c r="J37" s="27" t="n">
        <x:f>I38</x:f>
        <x:v>18000</x:v>
      </x:c>
      <x:c r="K37" s="27" t="n">
        <x:f>J38</x:f>
        <x:v>32975</x:v>
      </x:c>
      <x:c r="L37" s="27" t="n">
        <x:f>K38</x:f>
        <x:v>39550</x:v>
      </x:c>
      <x:c r="M37" s="27" t="n">
        <x:f>L38</x:f>
        <x:v>45225</x:v>
      </x:c>
      <x:c r="N37" s="27" t="n">
        <x:f>M38</x:f>
        <x:v>56875</x:v>
      </x:c>
      <x:c r="O37" s="27" t="n">
        <x:f>N38</x:f>
        <x:v>60125</x:v>
      </x:c>
      <x:c r="P37" s="27" t="n">
        <x:f>O38</x:f>
        <x:v>62475</x:v>
      </x:c>
      <x:c r="Q37" s="27" t="n">
        <x:f>P38</x:f>
        <x:v>68875</x:v>
      </x:c>
      <x:c r="R37" s="27" t="n">
        <x:f>Q38</x:f>
        <x:v>73925</x:v>
      </x:c>
      <x:c r="S37" s="27" t="n">
        <x:f>R38</x:f>
        <x:v>77625</x:v>
      </x:c>
      <x:c r="T37" s="27" t="n">
        <x:f>S38</x:f>
        <x:v>92400</x:v>
      </x:c>
      <x:c r="U37" s="27" t="n">
        <x:f>T38</x:f>
        <x:v>98475</x:v>
      </x:c>
      <x:c r="V37" s="27" t="n">
        <x:f>U38</x:f>
        <x:v>103350</x:v>
      </x:c>
      <x:c r="W37" s="27" t="n">
        <x:f>V38</x:f>
        <x:v>115237.5</x:v>
      </x:c>
      <x:c r="X37" s="27" t="n">
        <x:f>W38</x:f>
        <x:v>120750</x:v>
      </x:c>
      <x:c r="Y37" s="27" t="n">
        <x:f>X38</x:f>
        <x:v>125137.5</x:v>
      </x:c>
      <x:c r="Z37" s="27" t="n">
        <x:f>Y38</x:f>
        <x:v>140712.5</x:v>
      </x:c>
      <x:c r="AA37" s="27" t="n">
        <x:f>Z38</x:f>
        <x:v>142412.5</x:v>
      </x:c>
      <x:c r="AB37" s="27" t="n">
        <x:f>AA38</x:f>
        <x:v>142987.5</x:v>
      </x:c>
      <x:c r="AC37" s="27" t="n">
        <x:f>AB38</x:f>
        <x:v>152375</x:v>
      </x:c>
      <x:c r="AD37" s="27" t="n">
        <x:f>AC38</x:f>
        <x:v>160225</x:v>
      </x:c>
      <x:c r="AE37" s="27" t="n">
        <x:f>AD38</x:f>
        <x:v>166537.5</x:v>
      </x:c>
      <x:c r="AF37" s="27" t="n">
        <x:f>AE38</x:f>
        <x:v>187787.5</x:v>
      </x:c>
      <x:c r="AG37" s="27" t="n">
        <x:f>AF38</x:f>
        <x:v>194862.5</x:v>
      </x:c>
      <x:c r="AH37" s="27" t="n">
        <x:f>AG38</x:f>
        <x:v>200512.5</x:v>
      </x:c>
      <x:c r="AI37" s="27" t="n">
        <x:f>AH38</x:f>
        <x:v>210625</x:v>
      </x:c>
      <x:c r="AJ37" s="27" t="n">
        <x:f>AI38</x:f>
        <x:v>215693.75000000003</x:v>
      </x:c>
      <x:c r="AK37" s="27" t="n">
        <x:f>AJ38</x:f>
        <x:v>219393.75000000003</x:v>
      </x:c>
      <x:c r="AL37" s="27" t="n">
        <x:f>AK38</x:f>
        <x:v>237843.75000000006</x:v>
      </x:c>
      <x:c r="AM37" s="27" t="n">
        <x:f>AL38</x:f>
        <x:v>238500.00000000003</x:v>
      </x:c>
    </x:row>
    <x:row r="38" ht="22" customHeight="1">
      <x:c r="A38" s="1"/>
      <x:c r="B38" s="1"/>
      <x:c r="C38" s="17" t="str">
        <x:v>Closing deferred revenue</x:v>
      </x:c>
      <x:c r="D38" s="31" t="n">
        <x:f>D37+D36-D35</x:f>
        <x:v>0</x:v>
      </x:c>
      <x:c r="E38" s="31" t="n">
        <x:f>E37+E36-E35</x:f>
        <x:v>0</x:v>
      </x:c>
      <x:c r="F38" s="31" t="n">
        <x:f>F37+F36-F35</x:f>
        <x:v>0</x:v>
      </x:c>
      <x:c r="G38" s="31" t="n">
        <x:f>G37+G36-G35</x:f>
        <x:v>6600</x:v>
      </x:c>
      <x:c r="H38" s="31" t="n">
        <x:f>H37+H36-H35</x:f>
        <x:v>12600</x:v>
      </x:c>
      <x:c r="I38" s="31" t="n">
        <x:f>I37+I36-I35</x:f>
        <x:v>18000</x:v>
      </x:c>
      <x:c r="J38" s="31" t="n">
        <x:f>J37+J36-J35</x:f>
        <x:v>32975</x:v>
      </x:c>
      <x:c r="K38" s="31" t="n">
        <x:f>K37+K36-K35</x:f>
        <x:v>39550</x:v>
      </x:c>
      <x:c r="L38" s="31" t="n">
        <x:f>L37+L36-L35</x:f>
        <x:v>45225</x:v>
      </x:c>
      <x:c r="M38" s="31" t="n">
        <x:f>M37+M36-M35</x:f>
        <x:v>56875</x:v>
      </x:c>
      <x:c r="N38" s="31" t="n">
        <x:f>N37+N36-N35</x:f>
        <x:v>60125</x:v>
      </x:c>
      <x:c r="O38" s="31" t="n">
        <x:f>O37+O36-O35</x:f>
        <x:v>62475</x:v>
      </x:c>
      <x:c r="P38" s="31" t="n">
        <x:f>P37+P36-P35</x:f>
        <x:v>68875</x:v>
      </x:c>
      <x:c r="Q38" s="31" t="n">
        <x:f>Q37+Q36-Q35</x:f>
        <x:v>73925</x:v>
      </x:c>
      <x:c r="R38" s="31" t="n">
        <x:f>R37+R36-R35</x:f>
        <x:v>77625</x:v>
      </x:c>
      <x:c r="S38" s="31" t="n">
        <x:f>S37+S36-S35</x:f>
        <x:v>92400</x:v>
      </x:c>
      <x:c r="T38" s="31" t="n">
        <x:f>T37+T36-T35</x:f>
        <x:v>98475</x:v>
      </x:c>
      <x:c r="U38" s="31" t="n">
        <x:f>U37+U36-U35</x:f>
        <x:v>103350</x:v>
      </x:c>
      <x:c r="V38" s="31" t="n">
        <x:f>V37+V36-V35</x:f>
        <x:v>115237.5</x:v>
      </x:c>
      <x:c r="W38" s="31" t="n">
        <x:f>W37+W36-W35</x:f>
        <x:v>120750</x:v>
      </x:c>
      <x:c r="X38" s="31" t="n">
        <x:f>X37+X36-X35</x:f>
        <x:v>125137.5</x:v>
      </x:c>
      <x:c r="Y38" s="31" t="n">
        <x:f>Y37+Y36-Y35</x:f>
        <x:v>140712.5</x:v>
      </x:c>
      <x:c r="Z38" s="31" t="n">
        <x:f>Z37+Z36-Z35</x:f>
        <x:v>142412.5</x:v>
      </x:c>
      <x:c r="AA38" s="31" t="n">
        <x:f>AA37+AA36-AA35</x:f>
        <x:v>142987.5</x:v>
      </x:c>
      <x:c r="AB38" s="31" t="n">
        <x:f>AB37+AB36-AB35</x:f>
        <x:v>152375</x:v>
      </x:c>
      <x:c r="AC38" s="31" t="n">
        <x:f>AC37+AC36-AC35</x:f>
        <x:v>160225</x:v>
      </x:c>
      <x:c r="AD38" s="31" t="n">
        <x:f>AD37+AD36-AD35</x:f>
        <x:v>166537.5</x:v>
      </x:c>
      <x:c r="AE38" s="31" t="n">
        <x:f>AE37+AE36-AE35</x:f>
        <x:v>187787.5</x:v>
      </x:c>
      <x:c r="AF38" s="31" t="n">
        <x:f>AF37+AF36-AF35</x:f>
        <x:v>194862.5</x:v>
      </x:c>
      <x:c r="AG38" s="31" t="n">
        <x:f>AG37+AG36-AG35</x:f>
        <x:v>200512.5</x:v>
      </x:c>
      <x:c r="AH38" s="31" t="n">
        <x:f>AH37+AH36-AH35</x:f>
        <x:v>210625</x:v>
      </x:c>
      <x:c r="AI38" s="31" t="n">
        <x:f>AI37+AI36-AI35</x:f>
        <x:v>215693.75000000003</x:v>
      </x:c>
      <x:c r="AJ38" s="31" t="n">
        <x:f>AJ37+AJ36-AJ35</x:f>
        <x:v>219393.75000000003</x:v>
      </x:c>
      <x:c r="AK38" s="31" t="n">
        <x:f>AK37+AK36-AK35</x:f>
        <x:v>237843.75000000006</x:v>
      </x:c>
      <x:c r="AL38" s="31" t="n">
        <x:f>AL37+AL36-AL35</x:f>
        <x:v>238500.00000000003</x:v>
      </x:c>
      <x:c r="AM38" s="31" t="n">
        <x:f>AM37+AM36-AM35</x:f>
        <x:v>237787.5</x:v>
      </x:c>
    </x:row>
    <x:row r="39" ht="22" customHeight="1">
      <x:c r="A39" s="1"/>
      <x:c r="B39" s="1"/>
      <x:c r="C39" s="1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2"/>
      <x:c r="AI39" s="12"/>
      <x:c r="AJ39" s="12"/>
      <x:c r="AK39" s="12"/>
      <x:c r="AL39" s="12"/>
      <x:c r="AM39" s="12"/>
    </x:row>
    <x:row r="40" ht="22" customHeight="1">
      <x:c r="A40" s="1"/>
      <x:c r="B40" s="1"/>
      <x:c r="C40" s="1" t="str">
        <x:v>Collection processing costs</x:v>
      </x:c>
      <x:c r="D40" s="27" t="n">
        <x:f>D36*'Assumptions'!$D$21</x:f>
        <x:v>0</x:v>
      </x:c>
      <x:c r="E40" s="27" t="n">
        <x:f>E36*'Assumptions'!$D$21</x:f>
        <x:v>0</x:v>
      </x:c>
      <x:c r="F40" s="27" t="n">
        <x:f>F36*'Assumptions'!$D$21</x:f>
        <x:v>0</x:v>
      </x:c>
      <x:c r="G40" s="27" t="n">
        <x:f>G36*'Assumptions'!$D$21</x:f>
        <x:v>144</x:v>
      </x:c>
      <x:c r="H40" s="27" t="n">
        <x:f>H36*'Assumptions'!$D$21</x:f>
        <x:v>144</x:v>
      </x:c>
      <x:c r="I40" s="27" t="n">
        <x:f>I36*'Assumptions'!$D$21</x:f>
        <x:v>144</x:v>
      </x:c>
      <x:c r="J40" s="27" t="n">
        <x:f>J36*'Assumptions'!$D$21</x:f>
        <x:v>366</x:v>
      </x:c>
      <x:c r="K40" s="27" t="n">
        <x:f>K36*'Assumptions'!$D$21</x:f>
        <x:v>216</x:v>
      </x:c>
      <x:c r="L40" s="27" t="n">
        <x:f>L36*'Assumptions'!$D$21</x:f>
        <x:v>216</x:v>
      </x:c>
      <x:c r="M40" s="27" t="n">
        <x:f>M36*'Assumptions'!$D$21</x:f>
        <x:v>391.5</x:v>
      </x:c>
      <x:c r="N40" s="27" t="n">
        <x:f>N36*'Assumptions'!$D$21</x:f>
        <x:v>256.65</x:v>
      </x:c>
      <x:c r="O40" s="27" t="n">
        <x:f>O36*'Assumptions'!$D$21</x:f>
        <x:v>271.0875</x:v>
      </x:c>
      <x:c r="P40" s="27" t="n">
        <x:f>P36*'Assumptions'!$D$21</x:f>
        <x:v>392.848125</x:v>
      </x:c>
      <x:c r="Q40" s="27" t="n">
        <x:f>Q36*'Assumptions'!$D$21</x:f>
        <x:v>406.86571875000004</x:v>
      </x:c>
      <x:c r="R40" s="27" t="n">
        <x:f>R36*'Assumptions'!$D$21</x:f>
        <x:v>420.27243281249997</x:v>
      </x:c>
      <x:c r="S40" s="27" t="n">
        <x:f>S36*'Assumptions'!$D$21</x:f>
        <x:v>691.098811171875</x:v>
      </x:c>
      <x:c r="T40" s="27" t="n">
        <x:f>T36*'Assumptions'!$D$21</x:f>
        <x:v>553.3738706132813</x:v>
      </x:c>
      <x:c r="U40" s="27" t="n">
        <x:f>U36*'Assumptions'!$D$21</x:f>
        <x:v>565.1251770826171</x:v>
      </x:c>
      <x:c r="V40" s="27" t="n">
        <x:f>V36*'Assumptions'!$D$21</x:f>
        <x:v>735.3789182284863</x:v>
      </x:c>
      <x:c r="W40" s="27" t="n">
        <x:f>W36*'Assumptions'!$D$21</x:f>
        <x:v>641.159972317062</x:v>
      </x:c>
      <x:c r="X40" s="27" t="n">
        <x:f>X36*'Assumptions'!$D$21</x:f>
        <x:v>651.491973701209</x:v>
      </x:c>
      <x:c r="Y40" s="27" t="n">
        <x:f>Y36*'Assumptions'!$D$21</x:f>
        <x:v>916.3973750161484</x:v>
      </x:c>
      <x:c r="Z40" s="27" t="n">
        <x:f>Z36*'Assumptions'!$D$21</x:f>
        <x:v>670.8975062653411</x:v>
      </x:c>
      <x:c r="AA40" s="27" t="n">
        <x:f>AA36*'Assumptions'!$D$21</x:f>
        <x:v>680.012630952074</x:v>
      </x:c>
      <x:c r="AB40" s="27" t="n">
        <x:f>AB36*'Assumptions'!$D$21</x:f>
        <x:v>895.7619994044703</x:v>
      </x:c>
      <x:c r="AC40" s="27" t="n">
        <x:f>AC36*'Assumptions'!$D$21</x:f>
        <x:v>905.3638994342467</x:v>
      </x:c>
      <x:c r="AD40" s="27" t="n">
        <x:f>AD36*'Assumptions'!$D$21</x:f>
        <x:v>914.6357044625345</x:v>
      </x:c>
      <x:c r="AE40" s="27" t="n">
        <x:f>AE36*'Assumptions'!$D$21</x:f>
        <x:v>1259.5939192394078</x:v>
      </x:c>
      <x:c r="AF40" s="27" t="n">
        <x:f>AF36*'Assumptions'!$D$21</x:f>
        <x:v>1013.2542232774373</x:v>
      </x:c>
      <x:c r="AG40" s="27" t="n">
        <x:f>AG36*'Assumptions'!$D$21</x:f>
        <x:v>1021.6315121135655</x:v>
      </x:c>
      <x:c r="AH40" s="27" t="n">
        <x:f>AH36*'Assumptions'!$D$21</x:f>
        <x:v>1143.7399365078873</x:v>
      </x:c>
      <x:c r="AI40" s="27" t="n">
        <x:f>AI36*'Assumptions'!$D$21</x:f>
        <x:v>1078.092939682493</x:v>
      </x:c>
      <x:c r="AJ40" s="27" t="n">
        <x:f>AJ36*'Assumptions'!$D$21</x:f>
        <x:v>1085.7032926983682</x:v>
      </x:c>
      <x:c r="AK40" s="27" t="n">
        <x:f>AK36*'Assumptions'!$D$21</x:f>
        <x:v>1421.5831280634497</x:v>
      </x:c>
      <x:c r="AL40" s="27" t="n">
        <x:f>AL36*'Assumptions'!$D$21</x:f>
        <x:v>1100.2439716602773</x:v>
      </x:c>
      <x:c r="AM40" s="27" t="n">
        <x:f>AM36*'Assumptions'!$D$21</x:f>
        <x:v>1107.1967730772635</x:v>
      </x:c>
    </x:row>
    <x:row r="41" ht="22" customHeight="1">
      <x:c r="A41" s="1"/>
      <x:c r="B41" s="1"/>
      <x:c r="C41" s="1" t="str">
        <x:v>Revenue delivery costs</x:v>
      </x:c>
      <x:c r="D41" s="27" t="n">
        <x:f>D35*'Assumptions'!$D$22</x:f>
        <x:v>0</x:v>
      </x:c>
      <x:c r="E41" s="27" t="n">
        <x:f>E35*'Assumptions'!$D$22</x:f>
        <x:v>0</x:v>
      </x:c>
      <x:c r="F41" s="27" t="n">
        <x:f>F35*'Assumptions'!$D$22</x:f>
        <x:v>0</x:v>
      </x:c>
      <x:c r="G41" s="27" t="n">
        <x:f>G35*'Assumptions'!$D$22</x:f>
        <x:v>30</x:v>
      </x:c>
      <x:c r="H41" s="27" t="n">
        <x:f>H35*'Assumptions'!$D$22</x:f>
        <x:v>60</x:v>
      </x:c>
      <x:c r="I41" s="27" t="n">
        <x:f>I35*'Assumptions'!$D$22</x:f>
        <x:v>90</x:v>
      </x:c>
      <x:c r="J41" s="27" t="n">
        <x:f>J35*'Assumptions'!$D$22</x:f>
        <x:v>166.25</x:v>
      </x:c>
      <x:c r="K41" s="27" t="n">
        <x:f>K35*'Assumptions'!$D$22</x:f>
        <x:v>211.25</x:v>
      </x:c>
      <x:c r="L41" s="27" t="n">
        <x:f>L35*'Assumptions'!$D$22</x:f>
        <x:v>256.25</x:v>
      </x:c>
      <x:c r="M41" s="27" t="n">
        <x:f>M35*'Assumptions'!$D$22</x:f>
        <x:v>396.25</x:v>
      </x:c>
      <x:c r="N41" s="27" t="n">
        <x:f>N35*'Assumptions'!$D$22</x:f>
        <x:v>479.125</x:v>
      </x:c>
      <x:c r="O41" s="27" t="n">
        <x:f>O35*'Assumptions'!$D$22</x:f>
        <x:v>560.21875</x:v>
      </x:c>
      <x:c r="P41" s="27" t="n">
        <x:f>P35*'Assumptions'!$D$22</x:f>
        <x:v>662.1203125000001</x:v>
      </x:c>
      <x:c r="Q41" s="27" t="n">
        <x:f>Q35*'Assumptions'!$D$22</x:f>
        <x:v>764.6642968750001</x:v>
      </x:c>
      <x:c r="R41" s="27" t="n">
        <x:f>R35*'Assumptions'!$D$22</x:f>
        <x:v>865.68108203125</x:v>
      </x:c>
      <x:c r="S41" s="27" t="n">
        <x:f>S35*'Assumptions'!$D$22</x:f>
        <x:v>988.9970279296875</x:v>
      </x:c>
      <x:c r="T41" s="27" t="n">
        <x:f>T35*'Assumptions'!$D$22</x:f>
        <x:v>1079.6846765332032</x:v>
      </x:c>
      <x:c r="U41" s="27" t="n">
        <x:f>U35*'Assumptions'!$D$22</x:f>
        <x:v>1169.062942706543</x:v>
      </x:c>
      <x:c r="V41" s="27" t="n">
        <x:f>V35*'Assumptions'!$D$22</x:f>
        <x:v>1244.072295571216</x:v>
      </x:c>
      <x:c r="W41" s="27" t="n">
        <x:f>W35*'Assumptions'!$D$22</x:f>
        <x:v>1327.2749307926551</x:v>
      </x:c>
      <x:c r="X41" s="27" t="n">
        <x:f>X35*'Assumptions'!$D$22</x:f>
        <x:v>1409.3549342530223</x:v>
      </x:c>
      <x:c r="Y41" s="27" t="n">
        <x:f>Y35*'Assumptions'!$D$22</x:f>
        <x:v>1512.2434375403711</x:v>
      </x:c>
      <x:c r="Z41" s="27" t="n">
        <x:f>Z35*'Assumptions'!$D$22</x:f>
        <x:v>1592.2437656633529</x:v>
      </x:c>
      <x:c r="AA41" s="27" t="n">
        <x:f>AA35*'Assumptions'!$D$22</x:f>
        <x:v>1671.281577380185</x:v>
      </x:c>
      <x:c r="AB41" s="27" t="n">
        <x:f>AB35*'Assumptions'!$D$22</x:f>
        <x:v>1770.0299985111758</x:v>
      </x:c>
      <x:c r="AC41" s="27" t="n">
        <x:f>AC35*'Assumptions'!$D$22</x:f>
        <x:v>1870.9097485856169</x:v>
      </x:c>
      <x:c r="AD41" s="27" t="n">
        <x:f>AD35*'Assumptions'!$D$22</x:f>
        <x:v>1970.9642611563363</x:v>
      </x:c>
      <x:c r="AE41" s="27" t="n">
        <x:f>AE35*'Assumptions'!$D$22</x:f>
        <x:v>2086.484798098519</x:v>
      </x:c>
      <x:c r="AF41" s="27" t="n">
        <x:f>AF35*'Assumptions'!$D$22</x:f>
        <x:v>2179.385558193593</x:v>
      </x:c>
      <x:c r="AG41" s="27" t="n">
        <x:f>AG35*'Assumptions'!$D$22</x:f>
        <x:v>2271.5787802839136</x:v>
      </x:c>
      <x:c r="AH41" s="27" t="n">
        <x:f>AH35*'Assumptions'!$D$22</x:f>
        <x:v>2353.724841269718</x:v>
      </x:c>
      <x:c r="AI41" s="27" t="n">
        <x:f>AI35*'Assumptions'!$D$22</x:f>
        <x:v>2441.7948492062324</x:v>
      </x:c>
      <x:c r="AJ41" s="27" t="n">
        <x:f>AJ35*'Assumptions'!$D$22</x:f>
        <x:v>2529.2582317459205</x:v>
      </x:c>
      <x:c r="AK41" s="27" t="n">
        <x:f>AK35*'Assumptions'!$D$22</x:f>
        <x:v>2631.4578201586246</x:v>
      </x:c>
      <x:c r="AL41" s="27" t="n">
        <x:f>AL35*'Assumptions'!$D$22</x:f>
        <x:v>2717.7974291506935</x:v>
      </x:c>
      <x:c r="AM41" s="27" t="n">
        <x:f>AM35*'Assumptions'!$D$22</x:f>
        <x:v>2803.616932693159</x:v>
      </x:c>
    </x:row>
    <x:row r="42" ht="22" customHeight="1">
      <x:c r="A42" s="1"/>
      <x:c r="B42" s="1"/>
      <x:c r="C42" s="1" t="str">
        <x:v>Team total employment costs</x:v>
      </x:c>
      <x:c r="D42" s="27" t="n">
        <x:f>SUM('Assumptions'!$D$27,'Assumptions'!$D$28,IF(1&gt;='Assumptions'!$D$43,'Assumptions'!$D$29,0),IF(ISNUMBER('Assumptions'!D56),'Assumptions'!D56,NA()))</x:f>
        <x:v>10000</x:v>
      </x:c>
      <x:c r="E42" s="27" t="n">
        <x:f>SUM('Assumptions'!$D$27,'Assumptions'!$D$28,IF(2&gt;='Assumptions'!$D$43,'Assumptions'!$D$29,0),IF(ISNUMBER('Assumptions'!E56),'Assumptions'!E56,NA()))</x:f>
        <x:v>10000</x:v>
      </x:c>
      <x:c r="F42" s="27" t="n">
        <x:f>SUM('Assumptions'!$D$27,'Assumptions'!$D$28,IF(3&gt;='Assumptions'!$D$43,'Assumptions'!$D$29,0),IF(ISNUMBER('Assumptions'!F56),'Assumptions'!F56,NA()))</x:f>
        <x:v>10000</x:v>
      </x:c>
      <x:c r="G42" s="27" t="n">
        <x:f>SUM('Assumptions'!$D$27,'Assumptions'!$D$28,IF(4&gt;='Assumptions'!$D$43,'Assumptions'!$D$29,0),IF(ISNUMBER('Assumptions'!G56),'Assumptions'!G56,NA()))</x:f>
        <x:v>14000</x:v>
      </x:c>
      <x:c r="H42" s="27" t="n">
        <x:f>SUM('Assumptions'!$D$27,'Assumptions'!$D$28,IF(5&gt;='Assumptions'!$D$43,'Assumptions'!$D$29,0),IF(ISNUMBER('Assumptions'!H56),'Assumptions'!H56,NA()))</x:f>
        <x:v>14000</x:v>
      </x:c>
      <x:c r="I42" s="27" t="n">
        <x:f>SUM('Assumptions'!$D$27,'Assumptions'!$D$28,IF(6&gt;='Assumptions'!$D$43,'Assumptions'!$D$29,0),IF(ISNUMBER('Assumptions'!I56),'Assumptions'!I56,NA()))</x:f>
        <x:v>14000</x:v>
      </x:c>
      <x:c r="J42" s="27" t="n">
        <x:f>SUM('Assumptions'!$D$27,'Assumptions'!$D$28,IF(7&gt;='Assumptions'!$D$43,'Assumptions'!$D$29,0),IF(ISNUMBER('Assumptions'!J56),'Assumptions'!J56,NA()))</x:f>
        <x:v>14000</x:v>
      </x:c>
      <x:c r="K42" s="27" t="n">
        <x:f>SUM('Assumptions'!$D$27,'Assumptions'!$D$28,IF(8&gt;='Assumptions'!$D$43,'Assumptions'!$D$29,0),IF(ISNUMBER('Assumptions'!K56),'Assumptions'!K56,NA()))</x:f>
        <x:v>14000</x:v>
      </x:c>
      <x:c r="L42" s="27" t="n">
        <x:f>SUM('Assumptions'!$D$27,'Assumptions'!$D$28,IF(9&gt;='Assumptions'!$D$43,'Assumptions'!$D$29,0),IF(ISNUMBER('Assumptions'!L56),'Assumptions'!L56,NA()))</x:f>
        <x:v>14000</x:v>
      </x:c>
      <x:c r="M42" s="27" t="n">
        <x:f>SUM('Assumptions'!$D$27,'Assumptions'!$D$28,IF(10&gt;='Assumptions'!$D$43,'Assumptions'!$D$29,0),IF(ISNUMBER('Assumptions'!M56),'Assumptions'!M56,NA()))</x:f>
        <x:v>14000</x:v>
      </x:c>
      <x:c r="N42" s="27" t="n">
        <x:f>SUM('Assumptions'!$D$27,'Assumptions'!$D$28,IF(11&gt;='Assumptions'!$D$43,'Assumptions'!$D$29,0),IF(ISNUMBER('Assumptions'!N56),'Assumptions'!N56,NA()))</x:f>
        <x:v>14000</x:v>
      </x:c>
      <x:c r="O42" s="27" t="n">
        <x:f>SUM('Assumptions'!$D$27,'Assumptions'!$D$28,IF(12&gt;='Assumptions'!$D$43,'Assumptions'!$D$29,0),IF(ISNUMBER('Assumptions'!O56),'Assumptions'!O56,NA()))</x:f>
        <x:v>14000</x:v>
      </x:c>
      <x:c r="P42" s="27" t="n">
        <x:f>SUM('Assumptions'!$D$27,'Assumptions'!$D$28,IF(13&gt;='Assumptions'!$D$43,'Assumptions'!$D$29,0),IF(ISNUMBER('Assumptions'!P56),'Assumptions'!P56,NA()))</x:f>
        <x:v>20000</x:v>
      </x:c>
      <x:c r="Q42" s="27" t="n">
        <x:f>SUM('Assumptions'!$D$27,'Assumptions'!$D$28,IF(14&gt;='Assumptions'!$D$43,'Assumptions'!$D$29,0),IF(ISNUMBER('Assumptions'!Q56),'Assumptions'!Q56,NA()))</x:f>
        <x:v>20000</x:v>
      </x:c>
      <x:c r="R42" s="27" t="n">
        <x:f>SUM('Assumptions'!$D$27,'Assumptions'!$D$28,IF(15&gt;='Assumptions'!$D$43,'Assumptions'!$D$29,0),IF(ISNUMBER('Assumptions'!R56),'Assumptions'!R56,NA()))</x:f>
        <x:v>20000</x:v>
      </x:c>
      <x:c r="S42" s="27" t="n">
        <x:f>SUM('Assumptions'!$D$27,'Assumptions'!$D$28,IF(16&gt;='Assumptions'!$D$43,'Assumptions'!$D$29,0),IF(ISNUMBER('Assumptions'!S56),'Assumptions'!S56,NA()))</x:f>
        <x:v>20000</x:v>
      </x:c>
      <x:c r="T42" s="27" t="n">
        <x:f>SUM('Assumptions'!$D$27,'Assumptions'!$D$28,IF(17&gt;='Assumptions'!$D$43,'Assumptions'!$D$29,0),IF(ISNUMBER('Assumptions'!T56),'Assumptions'!T56,NA()))</x:f>
        <x:v>20000</x:v>
      </x:c>
      <x:c r="U42" s="27" t="n">
        <x:f>SUM('Assumptions'!$D$27,'Assumptions'!$D$28,IF(18&gt;='Assumptions'!$D$43,'Assumptions'!$D$29,0),IF(ISNUMBER('Assumptions'!U56),'Assumptions'!U56,NA()))</x:f>
        <x:v>20000</x:v>
      </x:c>
      <x:c r="V42" s="27" t="n">
        <x:f>SUM('Assumptions'!$D$27,'Assumptions'!$D$28,IF(19&gt;='Assumptions'!$D$43,'Assumptions'!$D$29,0),IF(ISNUMBER('Assumptions'!V56),'Assumptions'!V56,NA()))</x:f>
        <x:v>20000</x:v>
      </x:c>
      <x:c r="W42" s="27" t="n">
        <x:f>SUM('Assumptions'!$D$27,'Assumptions'!$D$28,IF(20&gt;='Assumptions'!$D$43,'Assumptions'!$D$29,0),IF(ISNUMBER('Assumptions'!W56),'Assumptions'!W56,NA()))</x:f>
        <x:v>20000</x:v>
      </x:c>
      <x:c r="X42" s="27" t="n">
        <x:f>SUM('Assumptions'!$D$27,'Assumptions'!$D$28,IF(21&gt;='Assumptions'!$D$43,'Assumptions'!$D$29,0),IF(ISNUMBER('Assumptions'!X56),'Assumptions'!X56,NA()))</x:f>
        <x:v>20000</x:v>
      </x:c>
      <x:c r="Y42" s="27" t="n">
        <x:f>SUM('Assumptions'!$D$27,'Assumptions'!$D$28,IF(22&gt;='Assumptions'!$D$43,'Assumptions'!$D$29,0),IF(ISNUMBER('Assumptions'!Y56),'Assumptions'!Y56,NA()))</x:f>
        <x:v>20000</x:v>
      </x:c>
      <x:c r="Z42" s="27" t="n">
        <x:f>SUM('Assumptions'!$D$27,'Assumptions'!$D$28,IF(23&gt;='Assumptions'!$D$43,'Assumptions'!$D$29,0),IF(ISNUMBER('Assumptions'!Z56),'Assumptions'!Z56,NA()))</x:f>
        <x:v>20000</x:v>
      </x:c>
      <x:c r="AA42" s="27" t="n">
        <x:f>SUM('Assumptions'!$D$27,'Assumptions'!$D$28,IF(24&gt;='Assumptions'!$D$43,'Assumptions'!$D$29,0),IF(ISNUMBER('Assumptions'!AA56),'Assumptions'!AA56,NA()))</x:f>
        <x:v>20000</x:v>
      </x:c>
      <x:c r="AB42" s="27" t="n">
        <x:f>SUM('Assumptions'!$D$27,'Assumptions'!$D$28,IF(25&gt;='Assumptions'!$D$43,'Assumptions'!$D$29,0),IF(ISNUMBER('Assumptions'!AB56),'Assumptions'!AB56,NA()))</x:f>
        <x:v>26000</x:v>
      </x:c>
      <x:c r="AC42" s="27" t="n">
        <x:f>SUM('Assumptions'!$D$27,'Assumptions'!$D$28,IF(26&gt;='Assumptions'!$D$43,'Assumptions'!$D$29,0),IF(ISNUMBER('Assumptions'!AC56),'Assumptions'!AC56,NA()))</x:f>
        <x:v>26000</x:v>
      </x:c>
      <x:c r="AD42" s="27" t="n">
        <x:f>SUM('Assumptions'!$D$27,'Assumptions'!$D$28,IF(27&gt;='Assumptions'!$D$43,'Assumptions'!$D$29,0),IF(ISNUMBER('Assumptions'!AD56),'Assumptions'!AD56,NA()))</x:f>
        <x:v>26000</x:v>
      </x:c>
      <x:c r="AE42" s="27" t="n">
        <x:f>SUM('Assumptions'!$D$27,'Assumptions'!$D$28,IF(28&gt;='Assumptions'!$D$43,'Assumptions'!$D$29,0),IF(ISNUMBER('Assumptions'!AE56),'Assumptions'!AE56,NA()))</x:f>
        <x:v>26000</x:v>
      </x:c>
      <x:c r="AF42" s="27" t="n">
        <x:f>SUM('Assumptions'!$D$27,'Assumptions'!$D$28,IF(29&gt;='Assumptions'!$D$43,'Assumptions'!$D$29,0),IF(ISNUMBER('Assumptions'!AF56),'Assumptions'!AF56,NA()))</x:f>
        <x:v>26000</x:v>
      </x:c>
      <x:c r="AG42" s="27" t="n">
        <x:f>SUM('Assumptions'!$D$27,'Assumptions'!$D$28,IF(30&gt;='Assumptions'!$D$43,'Assumptions'!$D$29,0),IF(ISNUMBER('Assumptions'!AG56),'Assumptions'!AG56,NA()))</x:f>
        <x:v>26000</x:v>
      </x:c>
      <x:c r="AH42" s="27" t="n">
        <x:f>SUM('Assumptions'!$D$27,'Assumptions'!$D$28,IF(31&gt;='Assumptions'!$D$43,'Assumptions'!$D$29,0),IF(ISNUMBER('Assumptions'!AH56),'Assumptions'!AH56,NA()))</x:f>
        <x:v>26000</x:v>
      </x:c>
      <x:c r="AI42" s="27" t="n">
        <x:f>SUM('Assumptions'!$D$27,'Assumptions'!$D$28,IF(32&gt;='Assumptions'!$D$43,'Assumptions'!$D$29,0),IF(ISNUMBER('Assumptions'!AI56),'Assumptions'!AI56,NA()))</x:f>
        <x:v>26000</x:v>
      </x:c>
      <x:c r="AJ42" s="27" t="n">
        <x:f>SUM('Assumptions'!$D$27,'Assumptions'!$D$28,IF(33&gt;='Assumptions'!$D$43,'Assumptions'!$D$29,0),IF(ISNUMBER('Assumptions'!AJ56),'Assumptions'!AJ56,NA()))</x:f>
        <x:v>26000</x:v>
      </x:c>
      <x:c r="AK42" s="27" t="n">
        <x:f>SUM('Assumptions'!$D$27,'Assumptions'!$D$28,IF(34&gt;='Assumptions'!$D$43,'Assumptions'!$D$29,0),IF(ISNUMBER('Assumptions'!AK56),'Assumptions'!AK56,NA()))</x:f>
        <x:v>26000</x:v>
      </x:c>
      <x:c r="AL42" s="27" t="n">
        <x:f>SUM('Assumptions'!$D$27,'Assumptions'!$D$28,IF(35&gt;='Assumptions'!$D$43,'Assumptions'!$D$29,0),IF(ISNUMBER('Assumptions'!AL56),'Assumptions'!AL56,NA()))</x:f>
        <x:v>26000</x:v>
      </x:c>
      <x:c r="AM42" s="27" t="n">
        <x:f>SUM('Assumptions'!$D$27,'Assumptions'!$D$28,IF(36&gt;='Assumptions'!$D$43,'Assumptions'!$D$29,0),IF(ISNUMBER('Assumptions'!AM56),'Assumptions'!AM56,NA()))</x:f>
        <x:v>26000</x:v>
      </x:c>
    </x:row>
    <x:row r="43" ht="22" customHeight="1">
      <x:c r="A43" s="1"/>
      <x:c r="B43" s="1"/>
      <x:c r="C43" s="1" t="str">
        <x:v>Hosting and software</x:v>
      </x:c>
      <x:c r="D43" s="27" t="n">
        <x:f>'Assumptions'!$D$30</x:f>
        <x:v>1000</x:v>
      </x:c>
      <x:c r="E43" s="27" t="n">
        <x:f>'Assumptions'!$D$30</x:f>
        <x:v>1000</x:v>
      </x:c>
      <x:c r="F43" s="27" t="n">
        <x:f>'Assumptions'!$D$30</x:f>
        <x:v>1000</x:v>
      </x:c>
      <x:c r="G43" s="27" t="n">
        <x:f>'Assumptions'!$D$30</x:f>
        <x:v>1000</x:v>
      </x:c>
      <x:c r="H43" s="27" t="n">
        <x:f>'Assumptions'!$D$30</x:f>
        <x:v>1000</x:v>
      </x:c>
      <x:c r="I43" s="27" t="n">
        <x:f>'Assumptions'!$D$30</x:f>
        <x:v>1000</x:v>
      </x:c>
      <x:c r="J43" s="27" t="n">
        <x:f>'Assumptions'!$D$30</x:f>
        <x:v>1000</x:v>
      </x:c>
      <x:c r="K43" s="27" t="n">
        <x:f>'Assumptions'!$D$30</x:f>
        <x:v>1000</x:v>
      </x:c>
      <x:c r="L43" s="27" t="n">
        <x:f>'Assumptions'!$D$30</x:f>
        <x:v>1000</x:v>
      </x:c>
      <x:c r="M43" s="27" t="n">
        <x:f>'Assumptions'!$D$30</x:f>
        <x:v>1000</x:v>
      </x:c>
      <x:c r="N43" s="27" t="n">
        <x:f>'Assumptions'!$D$30</x:f>
        <x:v>1000</x:v>
      </x:c>
      <x:c r="O43" s="27" t="n">
        <x:f>'Assumptions'!$D$30</x:f>
        <x:v>1000</x:v>
      </x:c>
      <x:c r="P43" s="27" t="n">
        <x:f>'Assumptions'!$D$30</x:f>
        <x:v>1000</x:v>
      </x:c>
      <x:c r="Q43" s="27" t="n">
        <x:f>'Assumptions'!$D$30</x:f>
        <x:v>1000</x:v>
      </x:c>
      <x:c r="R43" s="27" t="n">
        <x:f>'Assumptions'!$D$30</x:f>
        <x:v>1000</x:v>
      </x:c>
      <x:c r="S43" s="27" t="n">
        <x:f>'Assumptions'!$D$30</x:f>
        <x:v>1000</x:v>
      </x:c>
      <x:c r="T43" s="27" t="n">
        <x:f>'Assumptions'!$D$30</x:f>
        <x:v>1000</x:v>
      </x:c>
      <x:c r="U43" s="27" t="n">
        <x:f>'Assumptions'!$D$30</x:f>
        <x:v>1000</x:v>
      </x:c>
      <x:c r="V43" s="27" t="n">
        <x:f>'Assumptions'!$D$30</x:f>
        <x:v>1000</x:v>
      </x:c>
      <x:c r="W43" s="27" t="n">
        <x:f>'Assumptions'!$D$30</x:f>
        <x:v>1000</x:v>
      </x:c>
      <x:c r="X43" s="27" t="n">
        <x:f>'Assumptions'!$D$30</x:f>
        <x:v>1000</x:v>
      </x:c>
      <x:c r="Y43" s="27" t="n">
        <x:f>'Assumptions'!$D$30</x:f>
        <x:v>1000</x:v>
      </x:c>
      <x:c r="Z43" s="27" t="n">
        <x:f>'Assumptions'!$D$30</x:f>
        <x:v>1000</x:v>
      </x:c>
      <x:c r="AA43" s="27" t="n">
        <x:f>'Assumptions'!$D$30</x:f>
        <x:v>1000</x:v>
      </x:c>
      <x:c r="AB43" s="27" t="n">
        <x:f>'Assumptions'!$D$30</x:f>
        <x:v>1000</x:v>
      </x:c>
      <x:c r="AC43" s="27" t="n">
        <x:f>'Assumptions'!$D$30</x:f>
        <x:v>1000</x:v>
      </x:c>
      <x:c r="AD43" s="27" t="n">
        <x:f>'Assumptions'!$D$30</x:f>
        <x:v>1000</x:v>
      </x:c>
      <x:c r="AE43" s="27" t="n">
        <x:f>'Assumptions'!$D$30</x:f>
        <x:v>1000</x:v>
      </x:c>
      <x:c r="AF43" s="27" t="n">
        <x:f>'Assumptions'!$D$30</x:f>
        <x:v>1000</x:v>
      </x:c>
      <x:c r="AG43" s="27" t="n">
        <x:f>'Assumptions'!$D$30</x:f>
        <x:v>1000</x:v>
      </x:c>
      <x:c r="AH43" s="27" t="n">
        <x:f>'Assumptions'!$D$30</x:f>
        <x:v>1000</x:v>
      </x:c>
      <x:c r="AI43" s="27" t="n">
        <x:f>'Assumptions'!$D$30</x:f>
        <x:v>1000</x:v>
      </x:c>
      <x:c r="AJ43" s="27" t="n">
        <x:f>'Assumptions'!$D$30</x:f>
        <x:v>1000</x:v>
      </x:c>
      <x:c r="AK43" s="27" t="n">
        <x:f>'Assumptions'!$D$30</x:f>
        <x:v>1000</x:v>
      </x:c>
      <x:c r="AL43" s="27" t="n">
        <x:f>'Assumptions'!$D$30</x:f>
        <x:v>1000</x:v>
      </x:c>
      <x:c r="AM43" s="27" t="n">
        <x:f>'Assumptions'!$D$30</x:f>
        <x:v>1000</x:v>
      </x:c>
    </x:row>
    <x:row r="44" ht="22" customHeight="1">
      <x:c r="A44" s="1"/>
      <x:c r="B44" s="1"/>
      <x:c r="C44" s="1" t="str">
        <x:v>Administration</x:v>
      </x:c>
      <x:c r="D44" s="27" t="n">
        <x:f>'Assumptions'!$D$31</x:f>
        <x:v>1000</x:v>
      </x:c>
      <x:c r="E44" s="27" t="n">
        <x:f>'Assumptions'!$D$31</x:f>
        <x:v>1000</x:v>
      </x:c>
      <x:c r="F44" s="27" t="n">
        <x:f>'Assumptions'!$D$31</x:f>
        <x:v>1000</x:v>
      </x:c>
      <x:c r="G44" s="27" t="n">
        <x:f>'Assumptions'!$D$31</x:f>
        <x:v>1000</x:v>
      </x:c>
      <x:c r="H44" s="27" t="n">
        <x:f>'Assumptions'!$D$31</x:f>
        <x:v>1000</x:v>
      </x:c>
      <x:c r="I44" s="27" t="n">
        <x:f>'Assumptions'!$D$31</x:f>
        <x:v>1000</x:v>
      </x:c>
      <x:c r="J44" s="27" t="n">
        <x:f>'Assumptions'!$D$31</x:f>
        <x:v>1000</x:v>
      </x:c>
      <x:c r="K44" s="27" t="n">
        <x:f>'Assumptions'!$D$31</x:f>
        <x:v>1000</x:v>
      </x:c>
      <x:c r="L44" s="27" t="n">
        <x:f>'Assumptions'!$D$31</x:f>
        <x:v>1000</x:v>
      </x:c>
      <x:c r="M44" s="27" t="n">
        <x:f>'Assumptions'!$D$31</x:f>
        <x:v>1000</x:v>
      </x:c>
      <x:c r="N44" s="27" t="n">
        <x:f>'Assumptions'!$D$31</x:f>
        <x:v>1000</x:v>
      </x:c>
      <x:c r="O44" s="27" t="n">
        <x:f>'Assumptions'!$D$31</x:f>
        <x:v>1000</x:v>
      </x:c>
      <x:c r="P44" s="27" t="n">
        <x:f>'Assumptions'!$D$31</x:f>
        <x:v>1000</x:v>
      </x:c>
      <x:c r="Q44" s="27" t="n">
        <x:f>'Assumptions'!$D$31</x:f>
        <x:v>1000</x:v>
      </x:c>
      <x:c r="R44" s="27" t="n">
        <x:f>'Assumptions'!$D$31</x:f>
        <x:v>1000</x:v>
      </x:c>
      <x:c r="S44" s="27" t="n">
        <x:f>'Assumptions'!$D$31</x:f>
        <x:v>1000</x:v>
      </x:c>
      <x:c r="T44" s="27" t="n">
        <x:f>'Assumptions'!$D$31</x:f>
        <x:v>1000</x:v>
      </x:c>
      <x:c r="U44" s="27" t="n">
        <x:f>'Assumptions'!$D$31</x:f>
        <x:v>1000</x:v>
      </x:c>
      <x:c r="V44" s="27" t="n">
        <x:f>'Assumptions'!$D$31</x:f>
        <x:v>1000</x:v>
      </x:c>
      <x:c r="W44" s="27" t="n">
        <x:f>'Assumptions'!$D$31</x:f>
        <x:v>1000</x:v>
      </x:c>
      <x:c r="X44" s="27" t="n">
        <x:f>'Assumptions'!$D$31</x:f>
        <x:v>1000</x:v>
      </x:c>
      <x:c r="Y44" s="27" t="n">
        <x:f>'Assumptions'!$D$31</x:f>
        <x:v>1000</x:v>
      </x:c>
      <x:c r="Z44" s="27" t="n">
        <x:f>'Assumptions'!$D$31</x:f>
        <x:v>1000</x:v>
      </x:c>
      <x:c r="AA44" s="27" t="n">
        <x:f>'Assumptions'!$D$31</x:f>
        <x:v>1000</x:v>
      </x:c>
      <x:c r="AB44" s="27" t="n">
        <x:f>'Assumptions'!$D$31</x:f>
        <x:v>1000</x:v>
      </x:c>
      <x:c r="AC44" s="27" t="n">
        <x:f>'Assumptions'!$D$31</x:f>
        <x:v>1000</x:v>
      </x:c>
      <x:c r="AD44" s="27" t="n">
        <x:f>'Assumptions'!$D$31</x:f>
        <x:v>1000</x:v>
      </x:c>
      <x:c r="AE44" s="27" t="n">
        <x:f>'Assumptions'!$D$31</x:f>
        <x:v>1000</x:v>
      </x:c>
      <x:c r="AF44" s="27" t="n">
        <x:f>'Assumptions'!$D$31</x:f>
        <x:v>1000</x:v>
      </x:c>
      <x:c r="AG44" s="27" t="n">
        <x:f>'Assumptions'!$D$31</x:f>
        <x:v>1000</x:v>
      </x:c>
      <x:c r="AH44" s="27" t="n">
        <x:f>'Assumptions'!$D$31</x:f>
        <x:v>1000</x:v>
      </x:c>
      <x:c r="AI44" s="27" t="n">
        <x:f>'Assumptions'!$D$31</x:f>
        <x:v>1000</x:v>
      </x:c>
      <x:c r="AJ44" s="27" t="n">
        <x:f>'Assumptions'!$D$31</x:f>
        <x:v>1000</x:v>
      </x:c>
      <x:c r="AK44" s="27" t="n">
        <x:f>'Assumptions'!$D$31</x:f>
        <x:v>1000</x:v>
      </x:c>
      <x:c r="AL44" s="27" t="n">
        <x:f>'Assumptions'!$D$31</x:f>
        <x:v>1000</x:v>
      </x:c>
      <x:c r="AM44" s="27" t="n">
        <x:f>'Assumptions'!$D$31</x:f>
        <x:v>1000</x:v>
      </x:c>
    </x:row>
    <x:row r="45" ht="22" customHeight="1">
      <x:c r="A45" s="1"/>
      <x:c r="B45" s="1"/>
      <x:c r="C45" s="1" t="str">
        <x:v>Insurance and accounting</x:v>
      </x:c>
      <x:c r="D45" s="27" t="n">
        <x:f>'Assumptions'!$D$32</x:f>
        <x:v>1000</x:v>
      </x:c>
      <x:c r="E45" s="27" t="n">
        <x:f>'Assumptions'!$D$32</x:f>
        <x:v>1000</x:v>
      </x:c>
      <x:c r="F45" s="27" t="n">
        <x:f>'Assumptions'!$D$32</x:f>
        <x:v>1000</x:v>
      </x:c>
      <x:c r="G45" s="27" t="n">
        <x:f>'Assumptions'!$D$32</x:f>
        <x:v>1000</x:v>
      </x:c>
      <x:c r="H45" s="27" t="n">
        <x:f>'Assumptions'!$D$32</x:f>
        <x:v>1000</x:v>
      </x:c>
      <x:c r="I45" s="27" t="n">
        <x:f>'Assumptions'!$D$32</x:f>
        <x:v>1000</x:v>
      </x:c>
      <x:c r="J45" s="27" t="n">
        <x:f>'Assumptions'!$D$32</x:f>
        <x:v>1000</x:v>
      </x:c>
      <x:c r="K45" s="27" t="n">
        <x:f>'Assumptions'!$D$32</x:f>
        <x:v>1000</x:v>
      </x:c>
      <x:c r="L45" s="27" t="n">
        <x:f>'Assumptions'!$D$32</x:f>
        <x:v>1000</x:v>
      </x:c>
      <x:c r="M45" s="27" t="n">
        <x:f>'Assumptions'!$D$32</x:f>
        <x:v>1000</x:v>
      </x:c>
      <x:c r="N45" s="27" t="n">
        <x:f>'Assumptions'!$D$32</x:f>
        <x:v>1000</x:v>
      </x:c>
      <x:c r="O45" s="27" t="n">
        <x:f>'Assumptions'!$D$32</x:f>
        <x:v>1000</x:v>
      </x:c>
      <x:c r="P45" s="27" t="n">
        <x:f>'Assumptions'!$D$32</x:f>
        <x:v>1000</x:v>
      </x:c>
      <x:c r="Q45" s="27" t="n">
        <x:f>'Assumptions'!$D$32</x:f>
        <x:v>1000</x:v>
      </x:c>
      <x:c r="R45" s="27" t="n">
        <x:f>'Assumptions'!$D$32</x:f>
        <x:v>1000</x:v>
      </x:c>
      <x:c r="S45" s="27" t="n">
        <x:f>'Assumptions'!$D$32</x:f>
        <x:v>1000</x:v>
      </x:c>
      <x:c r="T45" s="27" t="n">
        <x:f>'Assumptions'!$D$32</x:f>
        <x:v>1000</x:v>
      </x:c>
      <x:c r="U45" s="27" t="n">
        <x:f>'Assumptions'!$D$32</x:f>
        <x:v>1000</x:v>
      </x:c>
      <x:c r="V45" s="27" t="n">
        <x:f>'Assumptions'!$D$32</x:f>
        <x:v>1000</x:v>
      </x:c>
      <x:c r="W45" s="27" t="n">
        <x:f>'Assumptions'!$D$32</x:f>
        <x:v>1000</x:v>
      </x:c>
      <x:c r="X45" s="27" t="n">
        <x:f>'Assumptions'!$D$32</x:f>
        <x:v>1000</x:v>
      </x:c>
      <x:c r="Y45" s="27" t="n">
        <x:f>'Assumptions'!$D$32</x:f>
        <x:v>1000</x:v>
      </x:c>
      <x:c r="Z45" s="27" t="n">
        <x:f>'Assumptions'!$D$32</x:f>
        <x:v>1000</x:v>
      </x:c>
      <x:c r="AA45" s="27" t="n">
        <x:f>'Assumptions'!$D$32</x:f>
        <x:v>1000</x:v>
      </x:c>
      <x:c r="AB45" s="27" t="n">
        <x:f>'Assumptions'!$D$32</x:f>
        <x:v>1000</x:v>
      </x:c>
      <x:c r="AC45" s="27" t="n">
        <x:f>'Assumptions'!$D$32</x:f>
        <x:v>1000</x:v>
      </x:c>
      <x:c r="AD45" s="27" t="n">
        <x:f>'Assumptions'!$D$32</x:f>
        <x:v>1000</x:v>
      </x:c>
      <x:c r="AE45" s="27" t="n">
        <x:f>'Assumptions'!$D$32</x:f>
        <x:v>1000</x:v>
      </x:c>
      <x:c r="AF45" s="27" t="n">
        <x:f>'Assumptions'!$D$32</x:f>
        <x:v>1000</x:v>
      </x:c>
      <x:c r="AG45" s="27" t="n">
        <x:f>'Assumptions'!$D$32</x:f>
        <x:v>1000</x:v>
      </x:c>
      <x:c r="AH45" s="27" t="n">
        <x:f>'Assumptions'!$D$32</x:f>
        <x:v>1000</x:v>
      </x:c>
      <x:c r="AI45" s="27" t="n">
        <x:f>'Assumptions'!$D$32</x:f>
        <x:v>1000</x:v>
      </x:c>
      <x:c r="AJ45" s="27" t="n">
        <x:f>'Assumptions'!$D$32</x:f>
        <x:v>1000</x:v>
      </x:c>
      <x:c r="AK45" s="27" t="n">
        <x:f>'Assumptions'!$D$32</x:f>
        <x:v>1000</x:v>
      </x:c>
      <x:c r="AL45" s="27" t="n">
        <x:f>'Assumptions'!$D$32</x:f>
        <x:v>1000</x:v>
      </x:c>
      <x:c r="AM45" s="27" t="n">
        <x:f>'Assumptions'!$D$32</x:f>
        <x:v>1000</x:v>
      </x:c>
    </x:row>
    <x:row r="46" ht="22" customHeight="1">
      <x:c r="A46" s="1"/>
      <x:c r="B46" s="1"/>
      <x:c r="C46" s="1" t="str">
        <x:v>Marketing</x:v>
      </x:c>
      <x:c r="D46" s="27" t="n">
        <x:f>IF(ISNUMBER('Assumptions'!D55),'Assumptions'!D55,NA())</x:f>
        <x:v>2000</x:v>
      </x:c>
      <x:c r="E46" s="27" t="n">
        <x:f>IF(ISNUMBER('Assumptions'!E55),'Assumptions'!E55,NA())</x:f>
        <x:v>2000</x:v>
      </x:c>
      <x:c r="F46" s="27" t="n">
        <x:f>IF(ISNUMBER('Assumptions'!F55),'Assumptions'!F55,NA())</x:f>
        <x:v>2000</x:v>
      </x:c>
      <x:c r="G46" s="27" t="n">
        <x:f>IF(ISNUMBER('Assumptions'!G55),'Assumptions'!G55,NA())</x:f>
        <x:v>4000</x:v>
      </x:c>
      <x:c r="H46" s="27" t="n">
        <x:f>IF(ISNUMBER('Assumptions'!H55),'Assumptions'!H55,NA())</x:f>
        <x:v>4000</x:v>
      </x:c>
      <x:c r="I46" s="27" t="n">
        <x:f>IF(ISNUMBER('Assumptions'!I55),'Assumptions'!I55,NA())</x:f>
        <x:v>4000</x:v>
      </x:c>
      <x:c r="J46" s="27" t="n">
        <x:f>IF(ISNUMBER('Assumptions'!J55),'Assumptions'!J55,NA())</x:f>
        <x:v>4000</x:v>
      </x:c>
      <x:c r="K46" s="27" t="n">
        <x:f>IF(ISNUMBER('Assumptions'!K55),'Assumptions'!K55,NA())</x:f>
        <x:v>4000</x:v>
      </x:c>
      <x:c r="L46" s="27" t="n">
        <x:f>IF(ISNUMBER('Assumptions'!L55),'Assumptions'!L55,NA())</x:f>
        <x:v>4000</x:v>
      </x:c>
      <x:c r="M46" s="27" t="n">
        <x:f>IF(ISNUMBER('Assumptions'!M55),'Assumptions'!M55,NA())</x:f>
        <x:v>4000</x:v>
      </x:c>
      <x:c r="N46" s="27" t="n">
        <x:f>IF(ISNUMBER('Assumptions'!N55),'Assumptions'!N55,NA())</x:f>
        <x:v>4000</x:v>
      </x:c>
      <x:c r="O46" s="27" t="n">
        <x:f>IF(ISNUMBER('Assumptions'!O55),'Assumptions'!O55,NA())</x:f>
        <x:v>4000</x:v>
      </x:c>
      <x:c r="P46" s="27" t="n">
        <x:f>IF(ISNUMBER('Assumptions'!P55),'Assumptions'!P55,NA())</x:f>
        <x:v>6000</x:v>
      </x:c>
      <x:c r="Q46" s="27" t="n">
        <x:f>IF(ISNUMBER('Assumptions'!Q55),'Assumptions'!Q55,NA())</x:f>
        <x:v>6000</x:v>
      </x:c>
      <x:c r="R46" s="27" t="n">
        <x:f>IF(ISNUMBER('Assumptions'!R55),'Assumptions'!R55,NA())</x:f>
        <x:v>6000</x:v>
      </x:c>
      <x:c r="S46" s="27" t="n">
        <x:f>IF(ISNUMBER('Assumptions'!S55),'Assumptions'!S55,NA())</x:f>
        <x:v>6000</x:v>
      </x:c>
      <x:c r="T46" s="27" t="n">
        <x:f>IF(ISNUMBER('Assumptions'!T55),'Assumptions'!T55,NA())</x:f>
        <x:v>6000</x:v>
      </x:c>
      <x:c r="U46" s="27" t="n">
        <x:f>IF(ISNUMBER('Assumptions'!U55),'Assumptions'!U55,NA())</x:f>
        <x:v>6000</x:v>
      </x:c>
      <x:c r="V46" s="27" t="n">
        <x:f>IF(ISNUMBER('Assumptions'!V55),'Assumptions'!V55,NA())</x:f>
        <x:v>6000</x:v>
      </x:c>
      <x:c r="W46" s="27" t="n">
        <x:f>IF(ISNUMBER('Assumptions'!W55),'Assumptions'!W55,NA())</x:f>
        <x:v>6000</x:v>
      </x:c>
      <x:c r="X46" s="27" t="n">
        <x:f>IF(ISNUMBER('Assumptions'!X55),'Assumptions'!X55,NA())</x:f>
        <x:v>6000</x:v>
      </x:c>
      <x:c r="Y46" s="27" t="n">
        <x:f>IF(ISNUMBER('Assumptions'!Y55),'Assumptions'!Y55,NA())</x:f>
        <x:v>6000</x:v>
      </x:c>
      <x:c r="Z46" s="27" t="n">
        <x:f>IF(ISNUMBER('Assumptions'!Z55),'Assumptions'!Z55,NA())</x:f>
        <x:v>6000</x:v>
      </x:c>
      <x:c r="AA46" s="27" t="n">
        <x:f>IF(ISNUMBER('Assumptions'!AA55),'Assumptions'!AA55,NA())</x:f>
        <x:v>6000</x:v>
      </x:c>
      <x:c r="AB46" s="27" t="n">
        <x:f>IF(ISNUMBER('Assumptions'!AB55),'Assumptions'!AB55,NA())</x:f>
        <x:v>8000</x:v>
      </x:c>
      <x:c r="AC46" s="27" t="n">
        <x:f>IF(ISNUMBER('Assumptions'!AC55),'Assumptions'!AC55,NA())</x:f>
        <x:v>8000</x:v>
      </x:c>
      <x:c r="AD46" s="27" t="n">
        <x:f>IF(ISNUMBER('Assumptions'!AD55),'Assumptions'!AD55,NA())</x:f>
        <x:v>8000</x:v>
      </x:c>
      <x:c r="AE46" s="27" t="n">
        <x:f>IF(ISNUMBER('Assumptions'!AE55),'Assumptions'!AE55,NA())</x:f>
        <x:v>8000</x:v>
      </x:c>
      <x:c r="AF46" s="27" t="n">
        <x:f>IF(ISNUMBER('Assumptions'!AF55),'Assumptions'!AF55,NA())</x:f>
        <x:v>8000</x:v>
      </x:c>
      <x:c r="AG46" s="27" t="n">
        <x:f>IF(ISNUMBER('Assumptions'!AG55),'Assumptions'!AG55,NA())</x:f>
        <x:v>8000</x:v>
      </x:c>
      <x:c r="AH46" s="27" t="n">
        <x:f>IF(ISNUMBER('Assumptions'!AH55),'Assumptions'!AH55,NA())</x:f>
        <x:v>8000</x:v>
      </x:c>
      <x:c r="AI46" s="27" t="n">
        <x:f>IF(ISNUMBER('Assumptions'!AI55),'Assumptions'!AI55,NA())</x:f>
        <x:v>8000</x:v>
      </x:c>
      <x:c r="AJ46" s="27" t="n">
        <x:f>IF(ISNUMBER('Assumptions'!AJ55),'Assumptions'!AJ55,NA())</x:f>
        <x:v>8000</x:v>
      </x:c>
      <x:c r="AK46" s="27" t="n">
        <x:f>IF(ISNUMBER('Assumptions'!AK55),'Assumptions'!AK55,NA())</x:f>
        <x:v>8000</x:v>
      </x:c>
      <x:c r="AL46" s="27" t="n">
        <x:f>IF(ISNUMBER('Assumptions'!AL55),'Assumptions'!AL55,NA())</x:f>
        <x:v>8000</x:v>
      </x:c>
      <x:c r="AM46" s="27" t="n">
        <x:f>IF(ISNUMBER('Assumptions'!AM55),'Assumptions'!AM55,NA())</x:f>
        <x:v>8000</x:v>
      </x:c>
    </x:row>
    <x:row r="47" ht="22" customHeight="1">
      <x:c r="A47" s="1"/>
      <x:c r="B47" s="1"/>
      <x:c r="C47" s="17" t="str">
        <x:v>Operating costs</x:v>
      </x:c>
      <x:c r="D47" s="31" t="n">
        <x:f>SUM(D40:D46)</x:f>
        <x:v>15000</x:v>
      </x:c>
      <x:c r="E47" s="31" t="n">
        <x:f>SUM(E40:E46)</x:f>
        <x:v>15000</x:v>
      </x:c>
      <x:c r="F47" s="31" t="n">
        <x:f>SUM(F40:F46)</x:f>
        <x:v>15000</x:v>
      </x:c>
      <x:c r="G47" s="31" t="n">
        <x:f>SUM(G40:G46)</x:f>
        <x:v>21174</x:v>
      </x:c>
      <x:c r="H47" s="31" t="n">
        <x:f>SUM(H40:H46)</x:f>
        <x:v>21204</x:v>
      </x:c>
      <x:c r="I47" s="31" t="n">
        <x:f>SUM(I40:I46)</x:f>
        <x:v>21234</x:v>
      </x:c>
      <x:c r="J47" s="31" t="n">
        <x:f>SUM(J40:J46)</x:f>
        <x:v>21532.25</x:v>
      </x:c>
      <x:c r="K47" s="31" t="n">
        <x:f>SUM(K40:K46)</x:f>
        <x:v>21427.25</x:v>
      </x:c>
      <x:c r="L47" s="31" t="n">
        <x:f>SUM(L40:L46)</x:f>
        <x:v>21472.25</x:v>
      </x:c>
      <x:c r="M47" s="31" t="n">
        <x:f>SUM(M40:M46)</x:f>
        <x:v>21787.75</x:v>
      </x:c>
      <x:c r="N47" s="31" t="n">
        <x:f>SUM(N40:N46)</x:f>
        <x:v>21735.775</x:v>
      </x:c>
      <x:c r="O47" s="31" t="n">
        <x:f>SUM(O40:O46)</x:f>
        <x:v>21831.30625</x:v>
      </x:c>
      <x:c r="P47" s="31" t="n">
        <x:f>SUM(P40:P46)</x:f>
        <x:v>30054.9684375</x:v>
      </x:c>
      <x:c r="Q47" s="31" t="n">
        <x:f>SUM(Q40:Q46)</x:f>
        <x:v>30171.530015625</x:v>
      </x:c>
      <x:c r="R47" s="31" t="n">
        <x:f>SUM(R40:R46)</x:f>
        <x:v>30285.95351484375</x:v>
      </x:c>
      <x:c r="S47" s="31" t="n">
        <x:f>SUM(S40:S46)</x:f>
        <x:v>30680.095839101563</x:v>
      </x:c>
      <x:c r="T47" s="31" t="n">
        <x:f>SUM(T40:T46)</x:f>
        <x:v>30633.058547146484</x:v>
      </x:c>
      <x:c r="U47" s="31" t="n">
        <x:f>SUM(U40:U46)</x:f>
        <x:v>30734.18811978916</x:v>
      </x:c>
      <x:c r="V47" s="31" t="n">
        <x:f>SUM(V40:V46)</x:f>
        <x:v>30979.4512137997</x:v>
      </x:c>
      <x:c r="W47" s="31" t="n">
        <x:f>SUM(W40:W46)</x:f>
        <x:v>30968.434903109715</x:v>
      </x:c>
      <x:c r="X47" s="31" t="n">
        <x:f>SUM(X40:X46)</x:f>
        <x:v>31060.84690795423</x:v>
      </x:c>
      <x:c r="Y47" s="31" t="n">
        <x:f>SUM(Y40:Y46)</x:f>
        <x:v>31428.64081255652</x:v>
      </x:c>
      <x:c r="Z47" s="31" t="n">
        <x:f>SUM(Z40:Z46)</x:f>
        <x:v>31263.141271928693</x:v>
      </x:c>
      <x:c r="AA47" s="31" t="n">
        <x:f>SUM(AA40:AA46)</x:f>
        <x:v>31351.29420833226</x:v>
      </x:c>
      <x:c r="AB47" s="31" t="n">
        <x:f>SUM(AB40:AB46)</x:f>
        <x:v>39665.79199791564</x:v>
      </x:c>
      <x:c r="AC47" s="31" t="n">
        <x:f>SUM(AC40:AC46)</x:f>
        <x:v>39776.273648019866</x:v>
      </x:c>
      <x:c r="AD47" s="31" t="n">
        <x:f>SUM(AD40:AD46)</x:f>
        <x:v>39885.59996561887</x:v>
      </x:c>
      <x:c r="AE47" s="31" t="n">
        <x:f>SUM(AE40:AE46)</x:f>
        <x:v>40346.07871733793</x:v>
      </x:c>
      <x:c r="AF47" s="31" t="n">
        <x:f>SUM(AF40:AF46)</x:f>
        <x:v>40192.63978147103</x:v>
      </x:c>
      <x:c r="AG47" s="31" t="n">
        <x:f>SUM(AG40:AG46)</x:f>
        <x:v>40293.210292397474</x:v>
      </x:c>
      <x:c r="AH47" s="31" t="n">
        <x:f>SUM(AH40:AH46)</x:f>
        <x:v>40497.464777777604</x:v>
      </x:c>
      <x:c r="AI47" s="31" t="n">
        <x:f>SUM(AI40:AI46)</x:f>
        <x:v>40519.88778888872</x:v>
      </x:c>
      <x:c r="AJ47" s="31" t="n">
        <x:f>SUM(AJ40:AJ46)</x:f>
        <x:v>40614.96152444429</x:v>
      </x:c>
      <x:c r="AK47" s="31" t="n">
        <x:f>SUM(AK40:AK46)</x:f>
        <x:v>41053.04094822207</x:v>
      </x:c>
      <x:c r="AL47" s="31" t="n">
        <x:f>SUM(AL40:AL46)</x:f>
        <x:v>40818.04140081097</x:v>
      </x:c>
      <x:c r="AM47" s="31" t="n">
        <x:f>SUM(AM40:AM46)</x:f>
        <x:v>40910.81370577042</x:v>
      </x:c>
    </x:row>
    <x:row r="48" ht="22" customHeight="1">
      <x:c r="A48" s="1"/>
      <x:c r="B48" s="1"/>
      <x:c r="C48" s="17" t="str">
        <x:v>Operating result before development</x:v>
      </x:c>
      <x:c r="D48" s="31" t="n">
        <x:f>D35-D47</x:f>
        <x:v>-15000</x:v>
      </x:c>
      <x:c r="E48" s="31" t="n">
        <x:f>E35-E47</x:f>
        <x:v>-15000</x:v>
      </x:c>
      <x:c r="F48" s="31" t="n">
        <x:f>F35-F47</x:f>
        <x:v>-15000</x:v>
      </x:c>
      <x:c r="G48" s="31" t="n">
        <x:f>G35-G47</x:f>
        <x:v>-20574</x:v>
      </x:c>
      <x:c r="H48" s="31" t="n">
        <x:f>H35-H47</x:f>
        <x:v>-20004</x:v>
      </x:c>
      <x:c r="I48" s="31" t="n">
        <x:f>I35-I47</x:f>
        <x:v>-19434</x:v>
      </x:c>
      <x:c r="J48" s="31" t="n">
        <x:f>J35-J47</x:f>
        <x:v>-18207.25</x:v>
      </x:c>
      <x:c r="K48" s="31" t="n">
        <x:f>K35-K47</x:f>
        <x:v>-17202.25</x:v>
      </x:c>
      <x:c r="L48" s="31" t="n">
        <x:f>L35-L47</x:f>
        <x:v>-16347.25</x:v>
      </x:c>
      <x:c r="M48" s="31" t="n">
        <x:f>M35-M47</x:f>
        <x:v>-13862.75</x:v>
      </x:c>
      <x:c r="N48" s="31" t="n">
        <x:f>N35-N47</x:f>
        <x:v>-12153.275000000001</x:v>
      </x:c>
      <x:c r="O48" s="31" t="n">
        <x:f>O35-O47</x:f>
        <x:v>-10626.931250000001</x:v>
      </x:c>
      <x:c r="P48" s="31" t="n">
        <x:f>P35-P47</x:f>
        <x:v>-16812.5621875</x:v>
      </x:c>
      <x:c r="Q48" s="31" t="n">
        <x:f>Q35-Q47</x:f>
        <x:v>-14878.244078125</x:v>
      </x:c>
      <x:c r="R48" s="31" t="n">
        <x:f>R35-R47</x:f>
        <x:v>-12972.331874218751</x:v>
      </x:c>
      <x:c r="S48" s="31" t="n">
        <x:f>S35-S47</x:f>
        <x:v>-10900.155280507814</x:v>
      </x:c>
      <x:c r="T48" s="31" t="n">
        <x:f>T35-T47</x:f>
        <x:v>-9039.365016482421</x:v>
      </x:c>
      <x:c r="U48" s="31" t="n">
        <x:f>U35-U47</x:f>
        <x:v>-7352.929265658302</x:v>
      </x:c>
      <x:c r="V48" s="31" t="n">
        <x:f>V35-V47</x:f>
        <x:v>-6098.005302375383</x:v>
      </x:c>
      <x:c r="W48" s="31" t="n">
        <x:f>W35-W47</x:f>
        <x:v>-4422.936287256613</x:v>
      </x:c>
      <x:c r="X48" s="31" t="n">
        <x:f>X35-X47</x:f>
        <x:v>-2873.7482228937843</x:v>
      </x:c>
      <x:c r="Y48" s="31" t="n">
        <x:f>Y35-Y47</x:f>
        <x:v>-1183.7720617490995</x:v>
      </x:c>
      <x:c r="Z48" s="31" t="n">
        <x:f>Z35-Z47</x:f>
        <x:v>581.7340413383608</x:v>
      </x:c>
      <x:c r="AA48" s="31" t="n">
        <x:f>AA35-AA47</x:f>
        <x:v>2074.3373392714384</x:v>
      </x:c>
      <x:c r="AB48" s="31" t="n">
        <x:f>AB35-AB47</x:f>
        <x:v>-4265.19202769213</x:v>
      </x:c>
      <x:c r="AC48" s="31" t="n">
        <x:f>AC35-AC47</x:f>
        <x:v>-2358.0786763075303</x:v>
      </x:c>
      <x:c r="AD48" s="31" t="n">
        <x:f>AD35-AD47</x:f>
        <x:v>-466.31474249214807</x:v>
      </x:c>
      <x:c r="AE48" s="31" t="n">
        <x:f>AE35-AE47</x:f>
        <x:v>1383.6172446324563</x:v>
      </x:c>
      <x:c r="AF48" s="31" t="n">
        <x:f>AF35-AF47</x:f>
        <x:v>3395.0713824008344</x:v>
      </x:c>
      <x:c r="AG48" s="31" t="n">
        <x:f>AG35-AG47</x:f>
        <x:v>5138.365313280796</x:v>
      </x:c>
      <x:c r="AH48" s="31" t="n">
        <x:f>AH35-AH47</x:f>
        <x:v>6577.032047616754</x:v>
      </x:c>
      <x:c r="AI48" s="31" t="n">
        <x:f>AI35-AI47</x:f>
        <x:v>8316.009195235922</x:v>
      </x:c>
      <x:c r="AJ48" s="31" t="n">
        <x:f>AJ35-AJ47</x:f>
        <x:v>9970.203110474118</x:v>
      </x:c>
      <x:c r="AK48" s="31" t="n">
        <x:f>AK35-AK47</x:f>
        <x:v>11576.115454950414</x:v>
      </x:c>
      <x:c r="AL48" s="31" t="n">
        <x:f>AL35-AL47</x:f>
        <x:v>13537.907182202893</x:v>
      </x:c>
      <x:c r="AM48" s="31" t="n">
        <x:f>AM35-AM47</x:f>
        <x:v>15161.524948092752</x:v>
      </x:c>
    </x:row>
    <x:row r="49" ht="22" customHeight="1">
      <x:c r="A49" s="1"/>
      <x:c r="B49" s="1"/>
      <x:c r="C49" s="1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  <x:c r="AG49" s="12"/>
      <x:c r="AH49" s="12"/>
      <x:c r="AI49" s="12"/>
      <x:c r="AJ49" s="12"/>
      <x:c r="AK49" s="12"/>
      <x:c r="AL49" s="12"/>
      <x:c r="AM49" s="12"/>
    </x:row>
    <x:row r="50" ht="22" customHeight="1">
      <x:c r="A50" s="1"/>
      <x:c r="B50" s="1"/>
      <x:c r="C50" s="1" t="str">
        <x:v>Development cash costs</x:v>
      </x:c>
      <x:c r="D50" s="27" t="n">
        <x:f>IF(ISNUMBER('Assumptions'!D57),'Assumptions'!D57,NA())</x:f>
        <x:v>15000</x:v>
      </x:c>
      <x:c r="E50" s="27" t="n">
        <x:f>IF(ISNUMBER('Assumptions'!E57),'Assumptions'!E57,NA())</x:f>
        <x:v>15000</x:v>
      </x:c>
      <x:c r="F50" s="27" t="n">
        <x:f>IF(ISNUMBER('Assumptions'!F57),'Assumptions'!F57,NA())</x:f>
        <x:v>15000</x:v>
      </x:c>
      <x:c r="G50" s="27" t="n">
        <x:f>IF(ISNUMBER('Assumptions'!G57),'Assumptions'!G57,NA())</x:f>
        <x:v>15000</x:v>
      </x:c>
      <x:c r="H50" s="27" t="n">
        <x:f>IF(ISNUMBER('Assumptions'!H57),'Assumptions'!H57,NA())</x:f>
        <x:v>15000</x:v>
      </x:c>
      <x:c r="I50" s="27" t="n">
        <x:f>IF(ISNUMBER('Assumptions'!I57),'Assumptions'!I57,NA())</x:f>
        <x:v>15000</x:v>
      </x:c>
      <x:c r="J50" s="27" t="n">
        <x:f>IF(ISNUMBER('Assumptions'!J57),'Assumptions'!J57,NA())</x:f>
        <x:v>0</x:v>
      </x:c>
      <x:c r="K50" s="27" t="n">
        <x:f>IF(ISNUMBER('Assumptions'!K57),'Assumptions'!K57,NA())</x:f>
        <x:v>0</x:v>
      </x:c>
      <x:c r="L50" s="27" t="n">
        <x:f>IF(ISNUMBER('Assumptions'!L57),'Assumptions'!L57,NA())</x:f>
        <x:v>0</x:v>
      </x:c>
      <x:c r="M50" s="27" t="n">
        <x:f>IF(ISNUMBER('Assumptions'!M57),'Assumptions'!M57,NA())</x:f>
        <x:v>0</x:v>
      </x:c>
      <x:c r="N50" s="27" t="n">
        <x:f>IF(ISNUMBER('Assumptions'!N57),'Assumptions'!N57,NA())</x:f>
        <x:v>0</x:v>
      </x:c>
      <x:c r="O50" s="27" t="n">
        <x:f>IF(ISNUMBER('Assumptions'!O57),'Assumptions'!O57,NA())</x:f>
        <x:v>0</x:v>
      </x:c>
      <x:c r="P50" s="27" t="n">
        <x:f>IF(ISNUMBER('Assumptions'!P57),'Assumptions'!P57,NA())</x:f>
        <x:v>0</x:v>
      </x:c>
      <x:c r="Q50" s="27" t="n">
        <x:f>IF(ISNUMBER('Assumptions'!Q57),'Assumptions'!Q57,NA())</x:f>
        <x:v>0</x:v>
      </x:c>
      <x:c r="R50" s="27" t="n">
        <x:f>IF(ISNUMBER('Assumptions'!R57),'Assumptions'!R57,NA())</x:f>
        <x:v>0</x:v>
      </x:c>
      <x:c r="S50" s="27" t="n">
        <x:f>IF(ISNUMBER('Assumptions'!S57),'Assumptions'!S57,NA())</x:f>
        <x:v>0</x:v>
      </x:c>
      <x:c r="T50" s="27" t="n">
        <x:f>IF(ISNUMBER('Assumptions'!T57),'Assumptions'!T57,NA())</x:f>
        <x:v>0</x:v>
      </x:c>
      <x:c r="U50" s="27" t="n">
        <x:f>IF(ISNUMBER('Assumptions'!U57),'Assumptions'!U57,NA())</x:f>
        <x:v>0</x:v>
      </x:c>
      <x:c r="V50" s="27" t="n">
        <x:f>IF(ISNUMBER('Assumptions'!V57),'Assumptions'!V57,NA())</x:f>
        <x:v>0</x:v>
      </x:c>
      <x:c r="W50" s="27" t="n">
        <x:f>IF(ISNUMBER('Assumptions'!W57),'Assumptions'!W57,NA())</x:f>
        <x:v>0</x:v>
      </x:c>
      <x:c r="X50" s="27" t="n">
        <x:f>IF(ISNUMBER('Assumptions'!X57),'Assumptions'!X57,NA())</x:f>
        <x:v>0</x:v>
      </x:c>
      <x:c r="Y50" s="27" t="n">
        <x:f>IF(ISNUMBER('Assumptions'!Y57),'Assumptions'!Y57,NA())</x:f>
        <x:v>0</x:v>
      </x:c>
      <x:c r="Z50" s="27" t="n">
        <x:f>IF(ISNUMBER('Assumptions'!Z57),'Assumptions'!Z57,NA())</x:f>
        <x:v>0</x:v>
      </x:c>
      <x:c r="AA50" s="27" t="n">
        <x:f>IF(ISNUMBER('Assumptions'!AA57),'Assumptions'!AA57,NA())</x:f>
        <x:v>0</x:v>
      </x:c>
      <x:c r="AB50" s="27" t="n">
        <x:f>IF(ISNUMBER('Assumptions'!AB57),'Assumptions'!AB57,NA())</x:f>
        <x:v>0</x:v>
      </x:c>
      <x:c r="AC50" s="27" t="n">
        <x:f>IF(ISNUMBER('Assumptions'!AC57),'Assumptions'!AC57,NA())</x:f>
        <x:v>0</x:v>
      </x:c>
      <x:c r="AD50" s="27" t="n">
        <x:f>IF(ISNUMBER('Assumptions'!AD57),'Assumptions'!AD57,NA())</x:f>
        <x:v>0</x:v>
      </x:c>
      <x:c r="AE50" s="27" t="n">
        <x:f>IF(ISNUMBER('Assumptions'!AE57),'Assumptions'!AE57,NA())</x:f>
        <x:v>0</x:v>
      </x:c>
      <x:c r="AF50" s="27" t="n">
        <x:f>IF(ISNUMBER('Assumptions'!AF57),'Assumptions'!AF57,NA())</x:f>
        <x:v>0</x:v>
      </x:c>
      <x:c r="AG50" s="27" t="n">
        <x:f>IF(ISNUMBER('Assumptions'!AG57),'Assumptions'!AG57,NA())</x:f>
        <x:v>0</x:v>
      </x:c>
      <x:c r="AH50" s="27" t="n">
        <x:f>IF(ISNUMBER('Assumptions'!AH57),'Assumptions'!AH57,NA())</x:f>
        <x:v>0</x:v>
      </x:c>
      <x:c r="AI50" s="27" t="n">
        <x:f>IF(ISNUMBER('Assumptions'!AI57),'Assumptions'!AI57,NA())</x:f>
        <x:v>0</x:v>
      </x:c>
      <x:c r="AJ50" s="27" t="n">
        <x:f>IF(ISNUMBER('Assumptions'!AJ57),'Assumptions'!AJ57,NA())</x:f>
        <x:v>0</x:v>
      </x:c>
      <x:c r="AK50" s="27" t="n">
        <x:f>IF(ISNUMBER('Assumptions'!AK57),'Assumptions'!AK57,NA())</x:f>
        <x:v>0</x:v>
      </x:c>
      <x:c r="AL50" s="27" t="n">
        <x:f>IF(ISNUMBER('Assumptions'!AL57),'Assumptions'!AL57,NA())</x:f>
        <x:v>0</x:v>
      </x:c>
      <x:c r="AM50" s="27" t="n">
        <x:f>IF(ISNUMBER('Assumptions'!AM57),'Assumptions'!AM57,NA())</x:f>
        <x:v>0</x:v>
      </x:c>
    </x:row>
    <x:row r="51" ht="22" customHeight="1">
      <x:c r="A51" s="1"/>
      <x:c r="B51" s="1"/>
      <x:c r="C51" s="1" t="str">
        <x:v>Other one off cash costs</x:v>
      </x:c>
      <x:c r="D51" s="27" t="n">
        <x:f>IF(ISNUMBER('Assumptions'!D58),'Assumptions'!D58,NA())</x:f>
        <x:v>0</x:v>
      </x:c>
      <x:c r="E51" s="27" t="n">
        <x:f>IF(ISNUMBER('Assumptions'!E58),'Assumptions'!E58,NA())</x:f>
        <x:v>0</x:v>
      </x:c>
      <x:c r="F51" s="27" t="n">
        <x:f>IF(ISNUMBER('Assumptions'!F58),'Assumptions'!F58,NA())</x:f>
        <x:v>0</x:v>
      </x:c>
      <x:c r="G51" s="27" t="n">
        <x:f>IF(ISNUMBER('Assumptions'!G58),'Assumptions'!G58,NA())</x:f>
        <x:v>0</x:v>
      </x:c>
      <x:c r="H51" s="27" t="n">
        <x:f>IF(ISNUMBER('Assumptions'!H58),'Assumptions'!H58,NA())</x:f>
        <x:v>0</x:v>
      </x:c>
      <x:c r="I51" s="27" t="n">
        <x:f>IF(ISNUMBER('Assumptions'!I58),'Assumptions'!I58,NA())</x:f>
        <x:v>0</x:v>
      </x:c>
      <x:c r="J51" s="27" t="n">
        <x:f>IF(ISNUMBER('Assumptions'!J58),'Assumptions'!J58,NA())</x:f>
        <x:v>0</x:v>
      </x:c>
      <x:c r="K51" s="27" t="n">
        <x:f>IF(ISNUMBER('Assumptions'!K58),'Assumptions'!K58,NA())</x:f>
        <x:v>0</x:v>
      </x:c>
      <x:c r="L51" s="27" t="n">
        <x:f>IF(ISNUMBER('Assumptions'!L58),'Assumptions'!L58,NA())</x:f>
        <x:v>0</x:v>
      </x:c>
      <x:c r="M51" s="27" t="n">
        <x:f>IF(ISNUMBER('Assumptions'!M58),'Assumptions'!M58,NA())</x:f>
        <x:v>0</x:v>
      </x:c>
      <x:c r="N51" s="27" t="n">
        <x:f>IF(ISNUMBER('Assumptions'!N58),'Assumptions'!N58,NA())</x:f>
        <x:v>0</x:v>
      </x:c>
      <x:c r="O51" s="27" t="n">
        <x:f>IF(ISNUMBER('Assumptions'!O58),'Assumptions'!O58,NA())</x:f>
        <x:v>0</x:v>
      </x:c>
      <x:c r="P51" s="27" t="n">
        <x:f>IF(ISNUMBER('Assumptions'!P58),'Assumptions'!P58,NA())</x:f>
        <x:v>0</x:v>
      </x:c>
      <x:c r="Q51" s="27" t="n">
        <x:f>IF(ISNUMBER('Assumptions'!Q58),'Assumptions'!Q58,NA())</x:f>
        <x:v>0</x:v>
      </x:c>
      <x:c r="R51" s="27" t="n">
        <x:f>IF(ISNUMBER('Assumptions'!R58),'Assumptions'!R58,NA())</x:f>
        <x:v>0</x:v>
      </x:c>
      <x:c r="S51" s="27" t="n">
        <x:f>IF(ISNUMBER('Assumptions'!S58),'Assumptions'!S58,NA())</x:f>
        <x:v>0</x:v>
      </x:c>
      <x:c r="T51" s="27" t="n">
        <x:f>IF(ISNUMBER('Assumptions'!T58),'Assumptions'!T58,NA())</x:f>
        <x:v>0</x:v>
      </x:c>
      <x:c r="U51" s="27" t="n">
        <x:f>IF(ISNUMBER('Assumptions'!U58),'Assumptions'!U58,NA())</x:f>
        <x:v>0</x:v>
      </x:c>
      <x:c r="V51" s="27" t="n">
        <x:f>IF(ISNUMBER('Assumptions'!V58),'Assumptions'!V58,NA())</x:f>
        <x:v>0</x:v>
      </x:c>
      <x:c r="W51" s="27" t="n">
        <x:f>IF(ISNUMBER('Assumptions'!W58),'Assumptions'!W58,NA())</x:f>
        <x:v>0</x:v>
      </x:c>
      <x:c r="X51" s="27" t="n">
        <x:f>IF(ISNUMBER('Assumptions'!X58),'Assumptions'!X58,NA())</x:f>
        <x:v>0</x:v>
      </x:c>
      <x:c r="Y51" s="27" t="n">
        <x:f>IF(ISNUMBER('Assumptions'!Y58),'Assumptions'!Y58,NA())</x:f>
        <x:v>0</x:v>
      </x:c>
      <x:c r="Z51" s="27" t="n">
        <x:f>IF(ISNUMBER('Assumptions'!Z58),'Assumptions'!Z58,NA())</x:f>
        <x:v>0</x:v>
      </x:c>
      <x:c r="AA51" s="27" t="n">
        <x:f>IF(ISNUMBER('Assumptions'!AA58),'Assumptions'!AA58,NA())</x:f>
        <x:v>0</x:v>
      </x:c>
      <x:c r="AB51" s="27" t="n">
        <x:f>IF(ISNUMBER('Assumptions'!AB58),'Assumptions'!AB58,NA())</x:f>
        <x:v>0</x:v>
      </x:c>
      <x:c r="AC51" s="27" t="n">
        <x:f>IF(ISNUMBER('Assumptions'!AC58),'Assumptions'!AC58,NA())</x:f>
        <x:v>0</x:v>
      </x:c>
      <x:c r="AD51" s="27" t="n">
        <x:f>IF(ISNUMBER('Assumptions'!AD58),'Assumptions'!AD58,NA())</x:f>
        <x:v>0</x:v>
      </x:c>
      <x:c r="AE51" s="27" t="n">
        <x:f>IF(ISNUMBER('Assumptions'!AE58),'Assumptions'!AE58,NA())</x:f>
        <x:v>0</x:v>
      </x:c>
      <x:c r="AF51" s="27" t="n">
        <x:f>IF(ISNUMBER('Assumptions'!AF58),'Assumptions'!AF58,NA())</x:f>
        <x:v>0</x:v>
      </x:c>
      <x:c r="AG51" s="27" t="n">
        <x:f>IF(ISNUMBER('Assumptions'!AG58),'Assumptions'!AG58,NA())</x:f>
        <x:v>0</x:v>
      </x:c>
      <x:c r="AH51" s="27" t="n">
        <x:f>IF(ISNUMBER('Assumptions'!AH58),'Assumptions'!AH58,NA())</x:f>
        <x:v>0</x:v>
      </x:c>
      <x:c r="AI51" s="27" t="n">
        <x:f>IF(ISNUMBER('Assumptions'!AI58),'Assumptions'!AI58,NA())</x:f>
        <x:v>0</x:v>
      </x:c>
      <x:c r="AJ51" s="27" t="n">
        <x:f>IF(ISNUMBER('Assumptions'!AJ58),'Assumptions'!AJ58,NA())</x:f>
        <x:v>0</x:v>
      </x:c>
      <x:c r="AK51" s="27" t="n">
        <x:f>IF(ISNUMBER('Assumptions'!AK58),'Assumptions'!AK58,NA())</x:f>
        <x:v>0</x:v>
      </x:c>
      <x:c r="AL51" s="27" t="n">
        <x:f>IF(ISNUMBER('Assumptions'!AL58),'Assumptions'!AL58,NA())</x:f>
        <x:v>0</x:v>
      </x:c>
      <x:c r="AM51" s="27" t="n">
        <x:f>IF(ISNUMBER('Assumptions'!AM58),'Assumptions'!AM58,NA())</x:f>
        <x:v>0</x:v>
      </x:c>
    </x:row>
    <x:row r="52" ht="22" customHeight="1">
      <x:c r="A52" s="1"/>
      <x:c r="B52" s="1"/>
      <x:c r="C52" s="1" t="str">
        <x:v>Contingency cash spending</x:v>
      </x:c>
      <x:c r="D52" s="27" t="n">
        <x:f>SUM(D47,D50:D51)*'Assumptions'!$D$38</x:f>
        <x:v>3000</x:v>
      </x:c>
      <x:c r="E52" s="27" t="n">
        <x:f>SUM(E47,E50:E51)*'Assumptions'!$D$38</x:f>
        <x:v>3000</x:v>
      </x:c>
      <x:c r="F52" s="27" t="n">
        <x:f>SUM(F47,F50:F51)*'Assumptions'!$D$38</x:f>
        <x:v>3000</x:v>
      </x:c>
      <x:c r="G52" s="27" t="n">
        <x:f>SUM(G47,G50:G51)*'Assumptions'!$D$38</x:f>
        <x:v>3617.4</x:v>
      </x:c>
      <x:c r="H52" s="27" t="n">
        <x:f>SUM(H47,H50:H51)*'Assumptions'!$D$38</x:f>
        <x:v>3620.4</x:v>
      </x:c>
      <x:c r="I52" s="27" t="n">
        <x:f>SUM(I47,I50:I51)*'Assumptions'!$D$38</x:f>
        <x:v>3623.4</x:v>
      </x:c>
      <x:c r="J52" s="27" t="n">
        <x:f>SUM(J47,J50:J51)*'Assumptions'!$D$38</x:f>
        <x:v>2153.225</x:v>
      </x:c>
      <x:c r="K52" s="27" t="n">
        <x:f>SUM(K47,K50:K51)*'Assumptions'!$D$38</x:f>
        <x:v>2142.725</x:v>
      </x:c>
      <x:c r="L52" s="27" t="n">
        <x:f>SUM(L47,L50:L51)*'Assumptions'!$D$38</x:f>
        <x:v>2147.225</x:v>
      </x:c>
      <x:c r="M52" s="27" t="n">
        <x:f>SUM(M47,M50:M51)*'Assumptions'!$D$38</x:f>
        <x:v>2178.775</x:v>
      </x:c>
      <x:c r="N52" s="27" t="n">
        <x:f>SUM(N47,N50:N51)*'Assumptions'!$D$38</x:f>
        <x:v>2173.5775000000003</x:v>
      </x:c>
      <x:c r="O52" s="27" t="n">
        <x:f>SUM(O47,O50:O51)*'Assumptions'!$D$38</x:f>
        <x:v>2183.1306250000002</x:v>
      </x:c>
      <x:c r="P52" s="27" t="n">
        <x:f>SUM(P47,P50:P51)*'Assumptions'!$D$38</x:f>
        <x:v>3005.49684375</x:v>
      </x:c>
      <x:c r="Q52" s="27" t="n">
        <x:f>SUM(Q47,Q50:Q51)*'Assumptions'!$D$38</x:f>
        <x:v>3017.1530015625003</x:v>
      </x:c>
      <x:c r="R52" s="27" t="n">
        <x:f>SUM(R47,R50:R51)*'Assumptions'!$D$38</x:f>
        <x:v>3028.595351484375</x:v>
      </x:c>
      <x:c r="S52" s="27" t="n">
        <x:f>SUM(S47,S50:S51)*'Assumptions'!$D$38</x:f>
        <x:v>3068.0095839101564</x:v>
      </x:c>
      <x:c r="T52" s="27" t="n">
        <x:f>SUM(T47,T50:T51)*'Assumptions'!$D$38</x:f>
        <x:v>3063.3058547146484</x:v>
      </x:c>
      <x:c r="U52" s="27" t="n">
        <x:f>SUM(U47,U50:U51)*'Assumptions'!$D$38</x:f>
        <x:v>3073.418811978916</x:v>
      </x:c>
      <x:c r="V52" s="27" t="n">
        <x:f>SUM(V47,V50:V51)*'Assumptions'!$D$38</x:f>
        <x:v>3097.9451213799703</x:v>
      </x:c>
      <x:c r="W52" s="27" t="n">
        <x:f>SUM(W47,W50:W51)*'Assumptions'!$D$38</x:f>
        <x:v>3096.843490310972</x:v>
      </x:c>
      <x:c r="X52" s="27" t="n">
        <x:f>SUM(X47,X50:X51)*'Assumptions'!$D$38</x:f>
        <x:v>3106.0846907954233</x:v>
      </x:c>
      <x:c r="Y52" s="27" t="n">
        <x:f>SUM(Y47,Y50:Y51)*'Assumptions'!$D$38</x:f>
        <x:v>3142.8640812556523</x:v>
      </x:c>
      <x:c r="Z52" s="27" t="n">
        <x:f>SUM(Z47,Z50:Z51)*'Assumptions'!$D$38</x:f>
        <x:v>3126.3141271928694</x:v>
      </x:c>
      <x:c r="AA52" s="27" t="n">
        <x:f>SUM(AA47,AA50:AA51)*'Assumptions'!$D$38</x:f>
        <x:v>3135.129420833226</x:v>
      </x:c>
      <x:c r="AB52" s="27" t="n">
        <x:f>SUM(AB47,AB50:AB51)*'Assumptions'!$D$38</x:f>
        <x:v>3966.5791997915644</x:v>
      </x:c>
      <x:c r="AC52" s="27" t="n">
        <x:f>SUM(AC47,AC50:AC51)*'Assumptions'!$D$38</x:f>
        <x:v>3977.627364801987</x:v>
      </x:c>
      <x:c r="AD52" s="27" t="n">
        <x:f>SUM(AD47,AD50:AD51)*'Assumptions'!$D$38</x:f>
        <x:v>3988.5599965618876</x:v>
      </x:c>
      <x:c r="AE52" s="27" t="n">
        <x:f>SUM(AE47,AE50:AE51)*'Assumptions'!$D$38</x:f>
        <x:v>4034.607871733793</x:v>
      </x:c>
      <x:c r="AF52" s="27" t="n">
        <x:f>SUM(AF47,AF50:AF51)*'Assumptions'!$D$38</x:f>
        <x:v>4019.263978147103</x:v>
      </x:c>
      <x:c r="AG52" s="27" t="n">
        <x:f>SUM(AG47,AG50:AG51)*'Assumptions'!$D$38</x:f>
        <x:v>4029.3210292397475</x:v>
      </x:c>
      <x:c r="AH52" s="27" t="n">
        <x:f>SUM(AH47,AH50:AH51)*'Assumptions'!$D$38</x:f>
        <x:v>4049.7464777777604</x:v>
      </x:c>
      <x:c r="AI52" s="27" t="n">
        <x:f>SUM(AI47,AI50:AI51)*'Assumptions'!$D$38</x:f>
        <x:v>4051.9887788888723</x:v>
      </x:c>
      <x:c r="AJ52" s="27" t="n">
        <x:f>SUM(AJ47,AJ50:AJ51)*'Assumptions'!$D$38</x:f>
        <x:v>4061.4961524444293</x:v>
      </x:c>
      <x:c r="AK52" s="27" t="n">
        <x:f>SUM(AK47,AK50:AK51)*'Assumptions'!$D$38</x:f>
        <x:v>4105.304094822207</x:v>
      </x:c>
      <x:c r="AL52" s="27" t="n">
        <x:f>SUM(AL47,AL50:AL51)*'Assumptions'!$D$38</x:f>
        <x:v>4081.8041400810976</x:v>
      </x:c>
      <x:c r="AM52" s="27" t="n">
        <x:f>SUM(AM47,AM50:AM51)*'Assumptions'!$D$38</x:f>
        <x:v>4091.0813705770424</x:v>
      </x:c>
    </x:row>
    <x:row r="53" ht="22" customHeight="1">
      <x:c r="A53" s="1"/>
      <x:c r="B53" s="1"/>
      <x:c r="C53" s="17" t="str">
        <x:v>Total operating cash outflows</x:v>
      </x:c>
      <x:c r="D53" s="31" t="n">
        <x:f>SUM(D47,D50:D52)</x:f>
        <x:v>33000</x:v>
      </x:c>
      <x:c r="E53" s="31" t="n">
        <x:f>SUM(E47,E50:E52)</x:f>
        <x:v>33000</x:v>
      </x:c>
      <x:c r="F53" s="31" t="n">
        <x:f>SUM(F47,F50:F52)</x:f>
        <x:v>33000</x:v>
      </x:c>
      <x:c r="G53" s="31" t="n">
        <x:f>SUM(G47,G50:G52)</x:f>
        <x:v>39791.4</x:v>
      </x:c>
      <x:c r="H53" s="31" t="n">
        <x:f>SUM(H47,H50:H52)</x:f>
        <x:v>39824.4</x:v>
      </x:c>
      <x:c r="I53" s="31" t="n">
        <x:f>SUM(I47,I50:I52)</x:f>
        <x:v>39857.4</x:v>
      </x:c>
      <x:c r="J53" s="31" t="n">
        <x:f>SUM(J47,J50:J52)</x:f>
        <x:v>23685.475</x:v>
      </x:c>
      <x:c r="K53" s="31" t="n">
        <x:f>SUM(K47,K50:K52)</x:f>
        <x:v>23569.975</x:v>
      </x:c>
      <x:c r="L53" s="31" t="n">
        <x:f>SUM(L47,L50:L52)</x:f>
        <x:v>23619.475</x:v>
      </x:c>
      <x:c r="M53" s="31" t="n">
        <x:f>SUM(M47,M50:M52)</x:f>
        <x:v>23966.525</x:v>
      </x:c>
      <x:c r="N53" s="31" t="n">
        <x:f>SUM(N47,N50:N52)</x:f>
        <x:v>23909.3525</x:v>
      </x:c>
      <x:c r="O53" s="31" t="n">
        <x:f>SUM(O47,O50:O52)</x:f>
        <x:v>24014.436875000003</x:v>
      </x:c>
      <x:c r="P53" s="31" t="n">
        <x:f>SUM(P47,P50:P52)</x:f>
        <x:v>33060.46528125</x:v>
      </x:c>
      <x:c r="Q53" s="31" t="n">
        <x:f>SUM(Q47,Q50:Q52)</x:f>
        <x:v>33188.683017187504</x:v>
      </x:c>
      <x:c r="R53" s="31" t="n">
        <x:f>SUM(R47,R50:R52)</x:f>
        <x:v>33314.54886632813</x:v>
      </x:c>
      <x:c r="S53" s="31" t="n">
        <x:f>SUM(S47,S50:S52)</x:f>
        <x:v>33748.10542301172</x:v>
      </x:c>
      <x:c r="T53" s="31" t="n">
        <x:f>SUM(T47,T50:T52)</x:f>
        <x:v>33696.36440186113</x:v>
      </x:c>
      <x:c r="U53" s="31" t="n">
        <x:f>SUM(U47,U50:U52)</x:f>
        <x:v>33807.606931768074</x:v>
      </x:c>
      <x:c r="V53" s="31" t="n">
        <x:f>SUM(V47,V50:V52)</x:f>
        <x:v>34077.39633517967</x:v>
      </x:c>
      <x:c r="W53" s="31" t="n">
        <x:f>SUM(W47,W50:W52)</x:f>
        <x:v>34065.27839342069</x:v>
      </x:c>
      <x:c r="X53" s="31" t="n">
        <x:f>SUM(X47,X50:X52)</x:f>
        <x:v>34166.93159874965</x:v>
      </x:c>
      <x:c r="Y53" s="31" t="n">
        <x:f>SUM(Y47,Y50:Y52)</x:f>
        <x:v>34571.504893812176</x:v>
      </x:c>
      <x:c r="Z53" s="31" t="n">
        <x:f>SUM(Z47,Z50:Z52)</x:f>
        <x:v>34389.455399121565</x:v>
      </x:c>
      <x:c r="AA53" s="31" t="n">
        <x:f>SUM(AA47,AA50:AA52)</x:f>
        <x:v>34486.42362916549</x:v>
      </x:c>
      <x:c r="AB53" s="31" t="n">
        <x:f>SUM(AB47,AB50:AB52)</x:f>
        <x:v>43632.37119770721</x:v>
      </x:c>
      <x:c r="AC53" s="31" t="n">
        <x:f>SUM(AC47,AC50:AC52)</x:f>
        <x:v>43753.90101282185</x:v>
      </x:c>
      <x:c r="AD53" s="31" t="n">
        <x:f>SUM(AD47,AD50:AD52)</x:f>
        <x:v>43874.15996218076</x:v>
      </x:c>
      <x:c r="AE53" s="31" t="n">
        <x:f>SUM(AE47,AE50:AE52)</x:f>
        <x:v>44380.68658907172</x:v>
      </x:c>
      <x:c r="AF53" s="31" t="n">
        <x:f>SUM(AF47,AF50:AF52)</x:f>
        <x:v>44211.90375961813</x:v>
      </x:c>
      <x:c r="AG53" s="31" t="n">
        <x:f>SUM(AG47,AG50:AG52)</x:f>
        <x:v>44322.53132163722</x:v>
      </x:c>
      <x:c r="AH53" s="31" t="n">
        <x:f>SUM(AH47,AH50:AH52)</x:f>
        <x:v>44547.21125555536</x:v>
      </x:c>
      <x:c r="AI53" s="31" t="n">
        <x:f>SUM(AI47,AI50:AI52)</x:f>
        <x:v>44571.876567777595</x:v>
      </x:c>
      <x:c r="AJ53" s="31" t="n">
        <x:f>SUM(AJ47,AJ50:AJ52)</x:f>
        <x:v>44676.45767688872</x:v>
      </x:c>
      <x:c r="AK53" s="31" t="n">
        <x:f>SUM(AK47,AK50:AK52)</x:f>
        <x:v>45158.345043044275</x:v>
      </x:c>
      <x:c r="AL53" s="31" t="n">
        <x:f>SUM(AL47,AL50:AL52)</x:f>
        <x:v>44899.84554089207</x:v>
      </x:c>
      <x:c r="AM53" s="31" t="n">
        <x:f>SUM(AM47,AM50:AM52)</x:f>
        <x:v>45001.895076347464</x:v>
      </x:c>
    </x:row>
    <x:row r="54" ht="22" customHeight="1">
      <x:c r="A54" s="1"/>
      <x:c r="B54" s="1"/>
      <x:c r="C54" s="17" t="str">
        <x:v>Operating net cash flow</x:v>
      </x:c>
      <x:c r="D54" s="31" t="n">
        <x:f>D36-D53</x:f>
        <x:v>-33000</x:v>
      </x:c>
      <x:c r="E54" s="31" t="n">
        <x:f>E36-E53</x:f>
        <x:v>-33000</x:v>
      </x:c>
      <x:c r="F54" s="31" t="n">
        <x:f>F36-F53</x:f>
        <x:v>-33000</x:v>
      </x:c>
      <x:c r="G54" s="31" t="n">
        <x:f>G36-G53</x:f>
        <x:v>-32591.4</x:v>
      </x:c>
      <x:c r="H54" s="31" t="n">
        <x:f>H36-H53</x:f>
        <x:v>-32624.4</x:v>
      </x:c>
      <x:c r="I54" s="31" t="n">
        <x:f>I36-I53</x:f>
        <x:v>-32657.4</x:v>
      </x:c>
      <x:c r="J54" s="31" t="n">
        <x:f>J36-J53</x:f>
        <x:v>-5385.4749999999985</x:v>
      </x:c>
      <x:c r="K54" s="31" t="n">
        <x:f>K36-K53</x:f>
        <x:v>-12769.974999999999</x:v>
      </x:c>
      <x:c r="L54" s="31" t="n">
        <x:f>L36-L53</x:f>
        <x:v>-12819.474999999999</x:v>
      </x:c>
      <x:c r="M54" s="31" t="n">
        <x:f>M36-M53</x:f>
        <x:v>-4391.5250000000015</x:v>
      </x:c>
      <x:c r="N54" s="31" t="n">
        <x:f>N36-N53</x:f>
        <x:v>-11076.8525</x:v>
      </x:c>
      <x:c r="O54" s="31" t="n">
        <x:f>O36-O53</x:f>
        <x:v>-10460.061875000003</x:v>
      </x:c>
      <x:c r="P54" s="31" t="n">
        <x:f>P36-P53</x:f>
        <x:v>-13418.059031249999</x:v>
      </x:c>
      <x:c r="Q54" s="31" t="n">
        <x:f>Q36-Q53</x:f>
        <x:v>-12845.397079687504</x:v>
      </x:c>
      <x:c r="R54" s="31" t="n">
        <x:f>R36-R53</x:f>
        <x:v>-12300.92722570313</x:v>
      </x:c>
      <x:c r="S54" s="31" t="n">
        <x:f>S36-S53</x:f>
        <x:v>806.8351355820269</x:v>
      </x:c>
      <x:c r="T54" s="31" t="n">
        <x:f>T36-T53</x:f>
        <x:v>-6027.670871197068</x:v>
      </x:c>
      <x:c r="U54" s="31" t="n">
        <x:f>U36-U53</x:f>
        <x:v>-5551.348077637216</x:v>
      </x:c>
      <x:c r="V54" s="31" t="n">
        <x:f>V36-V53</x:f>
        <x:v>2691.5495762446444</x:v>
      </x:c>
      <x:c r="W54" s="31" t="n">
        <x:f>W36-W53</x:f>
        <x:v>-2007.2797775675863</x:v>
      </x:c>
      <x:c r="X54" s="31" t="n">
        <x:f>X36-X53</x:f>
        <x:v>-1592.3329136892062</x:v>
      </x:c>
      <x:c r="Y54" s="31" t="n">
        <x:f>Y36-Y53</x:f>
        <x:v>11248.363856995245</x:v>
      </x:c>
      <x:c r="Z54" s="31" t="n">
        <x:f>Z36-Z53</x:f>
        <x:v>-844.5800858545117</x:v>
      </x:c>
      <x:c r="AA54" s="31" t="n">
        <x:f>AA36-AA53</x:f>
        <x:v>-485.79208156179084</x:v>
      </x:c>
      <x:c r="AB54" s="31" t="n">
        <x:f>AB36-AB53</x:f>
        <x:v>1155.7287725163042</x:v>
      </x:c>
      <x:c r="AC54" s="31" t="n">
        <x:f>AC36-AC53</x:f>
        <x:v>1514.2939588904846</x:v>
      </x:c>
      <x:c r="AD54" s="31" t="n">
        <x:f>AD36-AD53</x:f>
        <x:v>1857.6252609459625</x:v>
      </x:c>
      <x:c r="AE54" s="31" t="n">
        <x:f>AE36-AE53</x:f>
        <x:v>18599.00937289866</x:v>
      </x:c>
      <x:c r="AF54" s="31" t="n">
        <x:f>AF36-AF53</x:f>
        <x:v>6450.807404253734</x:v>
      </x:c>
      <x:c r="AG54" s="31" t="n">
        <x:f>AG36-AG53</x:f>
        <x:v>6759.044284041047</x:v>
      </x:c>
      <x:c r="AH54" s="31" t="n">
        <x:f>AH36-AH53</x:f>
        <x:v>12639.785569838998</x:v>
      </x:c>
      <x:c r="AI54" s="31" t="n">
        <x:f>AI36-AI53</x:f>
        <x:v>9332.770416347048</x:v>
      </x:c>
      <x:c r="AJ54" s="31" t="n">
        <x:f>AJ36-AJ53</x:f>
        <x:v>9608.706958029688</x:v>
      </x:c>
      <x:c r="AK54" s="31" t="n">
        <x:f>AK36-AK53</x:f>
        <x:v>25920.81136012821</x:v>
      </x:c>
      <x:c r="AL54" s="31" t="n">
        <x:f>AL36-AL53</x:f>
        <x:v>10112.353042121795</x:v>
      </x:c>
      <x:c r="AM54" s="31" t="n">
        <x:f>AM36-AM53</x:f>
        <x:v>10357.94357751571</x:v>
      </x:c>
    </x:row>
    <x:row r="55" ht="22" customHeight="1">
      <x:c r="A55" s="1"/>
      <x:c r="B55" s="1"/>
      <x:c r="C55" s="1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  <x:c r="AG55" s="12"/>
      <x:c r="AH55" s="12"/>
      <x:c r="AI55" s="12"/>
      <x:c r="AJ55" s="12"/>
      <x:c r="AK55" s="12"/>
      <x:c r="AL55" s="12"/>
      <x:c r="AM55" s="12"/>
    </x:row>
    <x:row r="56" ht="22" customHeight="1">
      <x:c r="A56" s="1"/>
      <x:c r="B56" s="1"/>
      <x:c r="C56" s="1" t="str">
        <x:v>Opening cash balance</x:v>
      </x:c>
      <x:c r="D56" s="27" t="n">
        <x:f>'Assumptions'!$D$8</x:f>
        <x:v>0</x:v>
      </x:c>
      <x:c r="E56" s="27" t="n">
        <x:f>D58</x:f>
        <x:v>729000</x:v>
      </x:c>
      <x:c r="F56" s="27" t="n">
        <x:f>E58</x:f>
        <x:v>696000</x:v>
      </x:c>
      <x:c r="G56" s="27" t="n">
        <x:f>F58</x:f>
        <x:v>663000</x:v>
      </x:c>
      <x:c r="H56" s="27" t="n">
        <x:f>G58</x:f>
        <x:v>630408.6</x:v>
      </x:c>
      <x:c r="I56" s="27" t="n">
        <x:f>H58</x:f>
        <x:v>597784.2</x:v>
      </x:c>
      <x:c r="J56" s="27" t="n">
        <x:f>I58</x:f>
        <x:v>565126.7999999999</x:v>
      </x:c>
      <x:c r="K56" s="27" t="n">
        <x:f>J58</x:f>
        <x:v>559741.325</x:v>
      </x:c>
      <x:c r="L56" s="27" t="n">
        <x:f>K58</x:f>
        <x:v>546971.35</x:v>
      </x:c>
      <x:c r="M56" s="27" t="n">
        <x:f>L58</x:f>
        <x:v>534151.875</x:v>
      </x:c>
      <x:c r="N56" s="27" t="n">
        <x:f>M58</x:f>
        <x:v>529760.35</x:v>
      </x:c>
      <x:c r="O56" s="27" t="n">
        <x:f>N58</x:f>
        <x:v>518683.4975</x:v>
      </x:c>
      <x:c r="P56" s="27" t="n">
        <x:f>O58</x:f>
        <x:v>508223.435625</x:v>
      </x:c>
      <x:c r="Q56" s="27" t="n">
        <x:f>P58</x:f>
        <x:v>494805.37659374997</x:v>
      </x:c>
      <x:c r="R56" s="27" t="n">
        <x:f>Q58</x:f>
        <x:v>481959.97951406246</x:v>
      </x:c>
      <x:c r="S56" s="27" t="n">
        <x:f>R58</x:f>
        <x:v>469659.0522883593</x:v>
      </x:c>
      <x:c r="T56" s="27" t="n">
        <x:f>S58</x:f>
        <x:v>470465.88742394134</x:v>
      </x:c>
      <x:c r="U56" s="27" t="n">
        <x:f>T58</x:f>
        <x:v>464438.21655274427</x:v>
      </x:c>
      <x:c r="V56" s="27" t="n">
        <x:f>U58</x:f>
        <x:v>458886.86847510707</x:v>
      </x:c>
      <x:c r="W56" s="27" t="n">
        <x:f>V58</x:f>
        <x:v>461578.41805135173</x:v>
      </x:c>
      <x:c r="X56" s="27" t="n">
        <x:f>W58</x:f>
        <x:v>459571.13827378413</x:v>
      </x:c>
      <x:c r="Y56" s="27" t="n">
        <x:f>X58</x:f>
        <x:v>457978.80536009494</x:v>
      </x:c>
      <x:c r="Z56" s="27" t="n">
        <x:f>Y58</x:f>
        <x:v>469227.1692170902</x:v>
      </x:c>
      <x:c r="AA56" s="27" t="n">
        <x:f>Z58</x:f>
        <x:v>468382.58913123567</x:v>
      </x:c>
      <x:c r="AB56" s="27" t="n">
        <x:f>AA58</x:f>
        <x:v>467896.79704967386</x:v>
      </x:c>
      <x:c r="AC56" s="27" t="n">
        <x:f>AB58</x:f>
        <x:v>469052.52582219016</x:v>
      </x:c>
      <x:c r="AD56" s="27" t="n">
        <x:f>AC58</x:f>
        <x:v>470566.81978108065</x:v>
      </x:c>
      <x:c r="AE56" s="27" t="n">
        <x:f>AD58</x:f>
        <x:v>472424.4450420266</x:v>
      </x:c>
      <x:c r="AF56" s="27" t="n">
        <x:f>AE58</x:f>
        <x:v>491023.45441492525</x:v>
      </x:c>
      <x:c r="AG56" s="27" t="n">
        <x:f>AF58</x:f>
        <x:v>497474.261819179</x:v>
      </x:c>
      <x:c r="AH56" s="27" t="n">
        <x:f>AG58</x:f>
        <x:v>504233.30610322003</x:v>
      </x:c>
      <x:c r="AI56" s="27" t="n">
        <x:f>AH58</x:f>
        <x:v>516873.09167305904</x:v>
      </x:c>
      <x:c r="AJ56" s="27" t="n">
        <x:f>AI58</x:f>
        <x:v>526205.8620894061</x:v>
      </x:c>
      <x:c r="AK56" s="27" t="n">
        <x:f>AJ58</x:f>
        <x:v>535814.5690474358</x:v>
      </x:c>
      <x:c r="AL56" s="27" t="n">
        <x:f>AK58</x:f>
        <x:v>561735.380407564</x:v>
      </x:c>
      <x:c r="AM56" s="27" t="n">
        <x:f>AL58</x:f>
        <x:v>571847.7334496857</x:v>
      </x:c>
    </x:row>
    <x:row r="57" ht="22" customHeight="1">
      <x:c r="A57" s="1"/>
      <x:c r="B57" s="1"/>
      <x:c r="C57" s="1" t="str">
        <x:v>Net equity proceeds</x:v>
      </x:c>
      <x:c r="D57" s="27" t="n">
        <x:f>'Raise'!$D$12</x:f>
        <x:v>762000</x:v>
      </x:c>
      <x:c r="E57" s="27" t="n">
        <x:f>0</x:f>
        <x:v>0</x:v>
      </x:c>
      <x:c r="F57" s="27" t="n">
        <x:f>0</x:f>
        <x:v>0</x:v>
      </x:c>
      <x:c r="G57" s="27" t="n">
        <x:f>0</x:f>
        <x:v>0</x:v>
      </x:c>
      <x:c r="H57" s="27" t="n">
        <x:f>0</x:f>
        <x:v>0</x:v>
      </x:c>
      <x:c r="I57" s="27" t="n">
        <x:f>0</x:f>
        <x:v>0</x:v>
      </x:c>
      <x:c r="J57" s="27" t="n">
        <x:f>0</x:f>
        <x:v>0</x:v>
      </x:c>
      <x:c r="K57" s="27" t="n">
        <x:f>0</x:f>
        <x:v>0</x:v>
      </x:c>
      <x:c r="L57" s="27" t="n">
        <x:f>0</x:f>
        <x:v>0</x:v>
      </x:c>
      <x:c r="M57" s="27" t="n">
        <x:f>0</x:f>
        <x:v>0</x:v>
      </x:c>
      <x:c r="N57" s="27" t="n">
        <x:f>0</x:f>
        <x:v>0</x:v>
      </x:c>
      <x:c r="O57" s="27" t="n">
        <x:f>0</x:f>
        <x:v>0</x:v>
      </x:c>
      <x:c r="P57" s="27" t="n">
        <x:f>0</x:f>
        <x:v>0</x:v>
      </x:c>
      <x:c r="Q57" s="27" t="n">
        <x:f>0</x:f>
        <x:v>0</x:v>
      </x:c>
      <x:c r="R57" s="27" t="n">
        <x:f>0</x:f>
        <x:v>0</x:v>
      </x:c>
      <x:c r="S57" s="27" t="n">
        <x:f>0</x:f>
        <x:v>0</x:v>
      </x:c>
      <x:c r="T57" s="27" t="n">
        <x:f>0</x:f>
        <x:v>0</x:v>
      </x:c>
      <x:c r="U57" s="27" t="n">
        <x:f>0</x:f>
        <x:v>0</x:v>
      </x:c>
      <x:c r="V57" s="27" t="n">
        <x:f>0</x:f>
        <x:v>0</x:v>
      </x:c>
      <x:c r="W57" s="27" t="n">
        <x:f>0</x:f>
        <x:v>0</x:v>
      </x:c>
      <x:c r="X57" s="27" t="n">
        <x:f>0</x:f>
        <x:v>0</x:v>
      </x:c>
      <x:c r="Y57" s="27" t="n">
        <x:f>0</x:f>
        <x:v>0</x:v>
      </x:c>
      <x:c r="Z57" s="27" t="n">
        <x:f>0</x:f>
        <x:v>0</x:v>
      </x:c>
      <x:c r="AA57" s="27" t="n">
        <x:f>0</x:f>
        <x:v>0</x:v>
      </x:c>
      <x:c r="AB57" s="27" t="n">
        <x:f>0</x:f>
        <x:v>0</x:v>
      </x:c>
      <x:c r="AC57" s="27" t="n">
        <x:f>0</x:f>
        <x:v>0</x:v>
      </x:c>
      <x:c r="AD57" s="27" t="n">
        <x:f>0</x:f>
        <x:v>0</x:v>
      </x:c>
      <x:c r="AE57" s="27" t="n">
        <x:f>0</x:f>
        <x:v>0</x:v>
      </x:c>
      <x:c r="AF57" s="27" t="n">
        <x:f>0</x:f>
        <x:v>0</x:v>
      </x:c>
      <x:c r="AG57" s="27" t="n">
        <x:f>0</x:f>
        <x:v>0</x:v>
      </x:c>
      <x:c r="AH57" s="27" t="n">
        <x:f>0</x:f>
        <x:v>0</x:v>
      </x:c>
      <x:c r="AI57" s="27" t="n">
        <x:f>0</x:f>
        <x:v>0</x:v>
      </x:c>
      <x:c r="AJ57" s="27" t="n">
        <x:f>0</x:f>
        <x:v>0</x:v>
      </x:c>
      <x:c r="AK57" s="27" t="n">
        <x:f>0</x:f>
        <x:v>0</x:v>
      </x:c>
      <x:c r="AL57" s="27" t="n">
        <x:f>0</x:f>
        <x:v>0</x:v>
      </x:c>
      <x:c r="AM57" s="27" t="n">
        <x:f>0</x:f>
        <x:v>0</x:v>
      </x:c>
    </x:row>
    <x:row r="58" ht="22" customHeight="1">
      <x:c r="A58" s="1"/>
      <x:c r="B58" s="1"/>
      <x:c r="C58" s="17" t="str">
        <x:v>Closing cash balance</x:v>
      </x:c>
      <x:c r="D58" s="31" t="n">
        <x:f>SUM(D56,D54,D57)</x:f>
        <x:v>729000</x:v>
      </x:c>
      <x:c r="E58" s="31" t="n">
        <x:f>SUM(E56,E54,E57)</x:f>
        <x:v>696000</x:v>
      </x:c>
      <x:c r="F58" s="31" t="n">
        <x:f>SUM(F56,F54,F57)</x:f>
        <x:v>663000</x:v>
      </x:c>
      <x:c r="G58" s="31" t="n">
        <x:f>SUM(G56,G54,G57)</x:f>
        <x:v>630408.6</x:v>
      </x:c>
      <x:c r="H58" s="31" t="n">
        <x:f>SUM(H56,H54,H57)</x:f>
        <x:v>597784.2</x:v>
      </x:c>
      <x:c r="I58" s="31" t="n">
        <x:f>SUM(I56,I54,I57)</x:f>
        <x:v>565126.7999999999</x:v>
      </x:c>
      <x:c r="J58" s="31" t="n">
        <x:f>SUM(J56,J54,J57)</x:f>
        <x:v>559741.325</x:v>
      </x:c>
      <x:c r="K58" s="31" t="n">
        <x:f>SUM(K56,K54,K57)</x:f>
        <x:v>546971.35</x:v>
      </x:c>
      <x:c r="L58" s="31" t="n">
        <x:f>SUM(L56,L54,L57)</x:f>
        <x:v>534151.875</x:v>
      </x:c>
      <x:c r="M58" s="31" t="n">
        <x:f>SUM(M56,M54,M57)</x:f>
        <x:v>529760.35</x:v>
      </x:c>
      <x:c r="N58" s="31" t="n">
        <x:f>SUM(N56,N54,N57)</x:f>
        <x:v>518683.4975</x:v>
      </x:c>
      <x:c r="O58" s="31" t="n">
        <x:f>SUM(O56,O54,O57)</x:f>
        <x:v>508223.435625</x:v>
      </x:c>
      <x:c r="P58" s="31" t="n">
        <x:f>SUM(P56,P54,P57)</x:f>
        <x:v>494805.37659374997</x:v>
      </x:c>
      <x:c r="Q58" s="31" t="n">
        <x:f>SUM(Q56,Q54,Q57)</x:f>
        <x:v>481959.97951406246</x:v>
      </x:c>
      <x:c r="R58" s="31" t="n">
        <x:f>SUM(R56,R54,R57)</x:f>
        <x:v>469659.0522883593</x:v>
      </x:c>
      <x:c r="S58" s="31" t="n">
        <x:f>SUM(S56,S54,S57)</x:f>
        <x:v>470465.88742394134</x:v>
      </x:c>
      <x:c r="T58" s="31" t="n">
        <x:f>SUM(T56,T54,T57)</x:f>
        <x:v>464438.21655274427</x:v>
      </x:c>
      <x:c r="U58" s="31" t="n">
        <x:f>SUM(U56,U54,U57)</x:f>
        <x:v>458886.86847510707</x:v>
      </x:c>
      <x:c r="V58" s="31" t="n">
        <x:f>SUM(V56,V54,V57)</x:f>
        <x:v>461578.41805135173</x:v>
      </x:c>
      <x:c r="W58" s="31" t="n">
        <x:f>SUM(W56,W54,W57)</x:f>
        <x:v>459571.13827378413</x:v>
      </x:c>
      <x:c r="X58" s="31" t="n">
        <x:f>SUM(X56,X54,X57)</x:f>
        <x:v>457978.80536009494</x:v>
      </x:c>
      <x:c r="Y58" s="31" t="n">
        <x:f>SUM(Y56,Y54,Y57)</x:f>
        <x:v>469227.1692170902</x:v>
      </x:c>
      <x:c r="Z58" s="31" t="n">
        <x:f>SUM(Z56,Z54,Z57)</x:f>
        <x:v>468382.58913123567</x:v>
      </x:c>
      <x:c r="AA58" s="31" t="n">
        <x:f>SUM(AA56,AA54,AA57)</x:f>
        <x:v>467896.79704967386</x:v>
      </x:c>
      <x:c r="AB58" s="31" t="n">
        <x:f>SUM(AB56,AB54,AB57)</x:f>
        <x:v>469052.52582219016</x:v>
      </x:c>
      <x:c r="AC58" s="31" t="n">
        <x:f>SUM(AC56,AC54,AC57)</x:f>
        <x:v>470566.81978108065</x:v>
      </x:c>
      <x:c r="AD58" s="31" t="n">
        <x:f>SUM(AD56,AD54,AD57)</x:f>
        <x:v>472424.4450420266</x:v>
      </x:c>
      <x:c r="AE58" s="31" t="n">
        <x:f>SUM(AE56,AE54,AE57)</x:f>
        <x:v>491023.45441492525</x:v>
      </x:c>
      <x:c r="AF58" s="31" t="n">
        <x:f>SUM(AF56,AF54,AF57)</x:f>
        <x:v>497474.261819179</x:v>
      </x:c>
      <x:c r="AG58" s="31" t="n">
        <x:f>SUM(AG56,AG54,AG57)</x:f>
        <x:v>504233.30610322003</x:v>
      </x:c>
      <x:c r="AH58" s="31" t="n">
        <x:f>SUM(AH56,AH54,AH57)</x:f>
        <x:v>516873.09167305904</x:v>
      </x:c>
      <x:c r="AI58" s="31" t="n">
        <x:f>SUM(AI56,AI54,AI57)</x:f>
        <x:v>526205.8620894061</x:v>
      </x:c>
      <x:c r="AJ58" s="31" t="n">
        <x:f>SUM(AJ56,AJ54,AJ57)</x:f>
        <x:v>535814.5690474358</x:v>
      </x:c>
      <x:c r="AK58" s="31" t="n">
        <x:f>SUM(AK56,AK54,AK57)</x:f>
        <x:v>561735.380407564</x:v>
      </x:c>
      <x:c r="AL58" s="31" t="n">
        <x:f>SUM(AL56,AL54,AL57)</x:f>
        <x:v>571847.7334496857</x:v>
      </x:c>
      <x:c r="AM58" s="31" t="n">
        <x:f>SUM(AM56,AM54,AM57)</x:f>
        <x:v>582205.6770272014</x:v>
      </x:c>
    </x:row>
    <x:row r="59" ht="22" customHeight="1">
      <x:c r="A59" s="1"/>
      <x:c r="B59" s="1"/>
      <x:c r="C59" s="17" t="str">
        <x:v>Closing cash without this raise</x:v>
      </x:c>
      <x:c r="D59" s="32" t="n">
        <x:f>'Assumptions'!$D$8+D54</x:f>
        <x:v>-33000</x:v>
      </x:c>
      <x:c r="E59" s="32" t="n">
        <x:f>D59+E54</x:f>
        <x:v>-66000</x:v>
      </x:c>
      <x:c r="F59" s="32" t="n">
        <x:f>E59+F54</x:f>
        <x:v>-99000</x:v>
      </x:c>
      <x:c r="G59" s="32" t="n">
        <x:f>F59+G54</x:f>
        <x:v>-131591.4</x:v>
      </x:c>
      <x:c r="H59" s="32" t="n">
        <x:f>G59+H54</x:f>
        <x:v>-164215.8</x:v>
      </x:c>
      <x:c r="I59" s="32" t="n">
        <x:f>H59+I54</x:f>
        <x:v>-196873.19999999998</x:v>
      </x:c>
      <x:c r="J59" s="32" t="n">
        <x:f>I59+J54</x:f>
        <x:v>-202258.675</x:v>
      </x:c>
      <x:c r="K59" s="32" t="n">
        <x:f>J59+K54</x:f>
        <x:v>-215028.65</x:v>
      </x:c>
      <x:c r="L59" s="32" t="n">
        <x:f>K59+L54</x:f>
        <x:v>-227848.125</x:v>
      </x:c>
      <x:c r="M59" s="32" t="n">
        <x:f>L59+M54</x:f>
        <x:v>-232239.65</x:v>
      </x:c>
      <x:c r="N59" s="32" t="n">
        <x:f>M59+N54</x:f>
        <x:v>-243316.5025</x:v>
      </x:c>
      <x:c r="O59" s="32" t="n">
        <x:f>N59+O54</x:f>
        <x:v>-253776.56437500002</x:v>
      </x:c>
      <x:c r="P59" s="32" t="n">
        <x:f>O59+P54</x:f>
        <x:v>-267194.62340625003</x:v>
      </x:c>
      <x:c r="Q59" s="32" t="n">
        <x:f>P59+Q54</x:f>
        <x:v>-280040.02048593754</x:v>
      </x:c>
      <x:c r="R59" s="32" t="n">
        <x:f>Q59+R54</x:f>
        <x:v>-292340.9477116407</x:v>
      </x:c>
      <x:c r="S59" s="32" t="n">
        <x:f>R59+S54</x:f>
        <x:v>-291534.11257605866</x:v>
      </x:c>
      <x:c r="T59" s="32" t="n">
        <x:f>S59+T54</x:f>
        <x:v>-297561.78344725573</x:v>
      </x:c>
      <x:c r="U59" s="32" t="n">
        <x:f>T59+U54</x:f>
        <x:v>-303113.13152489293</x:v>
      </x:c>
      <x:c r="V59" s="32" t="n">
        <x:f>U59+V54</x:f>
        <x:v>-300421.58194864827</x:v>
      </x:c>
      <x:c r="W59" s="32" t="n">
        <x:f>V59+W54</x:f>
        <x:v>-302428.86172621587</x:v>
      </x:c>
      <x:c r="X59" s="32" t="n">
        <x:f>W59+X54</x:f>
        <x:v>-304021.19463990506</x:v>
      </x:c>
      <x:c r="Y59" s="32" t="n">
        <x:f>X59+Y54</x:f>
        <x:v>-292772.8307829098</x:v>
      </x:c>
      <x:c r="Z59" s="32" t="n">
        <x:f>Y59+Z54</x:f>
        <x:v>-293617.41086876433</x:v>
      </x:c>
      <x:c r="AA59" s="32" t="n">
        <x:f>Z59+AA54</x:f>
        <x:v>-294103.20295032614</x:v>
      </x:c>
      <x:c r="AB59" s="32" t="n">
        <x:f>AA59+AB54</x:f>
        <x:v>-292947.47417780984</x:v>
      </x:c>
      <x:c r="AC59" s="32" t="n">
        <x:f>AB59+AC54</x:f>
        <x:v>-291433.18021891935</x:v>
      </x:c>
      <x:c r="AD59" s="32" t="n">
        <x:f>AC59+AD54</x:f>
        <x:v>-289575.5549579734</x:v>
      </x:c>
      <x:c r="AE59" s="32" t="n">
        <x:f>AD59+AE54</x:f>
        <x:v>-270976.54558507475</x:v>
      </x:c>
      <x:c r="AF59" s="32" t="n">
        <x:f>AE59+AF54</x:f>
        <x:v>-264525.738180821</x:v>
      </x:c>
      <x:c r="AG59" s="32" t="n">
        <x:f>AF59+AG54</x:f>
        <x:v>-257766.69389677997</x:v>
      </x:c>
      <x:c r="AH59" s="32" t="n">
        <x:f>AG59+AH54</x:f>
        <x:v>-245126.90832694096</x:v>
      </x:c>
      <x:c r="AI59" s="32" t="n">
        <x:f>AH59+AI54</x:f>
        <x:v>-235794.1379105939</x:v>
      </x:c>
      <x:c r="AJ59" s="32" t="n">
        <x:f>AI59+AJ54</x:f>
        <x:v>-226185.43095256423</x:v>
      </x:c>
      <x:c r="AK59" s="32" t="n">
        <x:f>AJ59+AK54</x:f>
        <x:v>-200264.619592436</x:v>
      </x:c>
      <x:c r="AL59" s="32" t="n">
        <x:f>AK59+AL54</x:f>
        <x:v>-190152.2665503142</x:v>
      </x:c>
      <x:c r="AM59" s="32" t="n">
        <x:f>AL59+AM54</x:f>
        <x:v>-179794.3229727985</x:v>
      </x:c>
    </x:row>
    <x:row r="60" ht="22" customHeight="1">
      <x:c r="A60" s="1"/>
      <x:c r="B60" s="1"/>
      <x:c r="C60" s="1" t="str">
        <x:v>Negative cash month indicator</x:v>
      </x:c>
      <x:c r="D60" s="28" t="n">
        <x:f>IF(D58&lt;0,1,0)</x:f>
        <x:v>0</x:v>
      </x:c>
      <x:c r="E60" s="28" t="n">
        <x:f>IF(E58&lt;0,1,0)</x:f>
        <x:v>0</x:v>
      </x:c>
      <x:c r="F60" s="28" t="n">
        <x:f>IF(F58&lt;0,1,0)</x:f>
        <x:v>0</x:v>
      </x:c>
      <x:c r="G60" s="28" t="n">
        <x:f>IF(G58&lt;0,1,0)</x:f>
        <x:v>0</x:v>
      </x:c>
      <x:c r="H60" s="28" t="n">
        <x:f>IF(H58&lt;0,1,0)</x:f>
        <x:v>0</x:v>
      </x:c>
      <x:c r="I60" s="28" t="n">
        <x:f>IF(I58&lt;0,1,0)</x:f>
        <x:v>0</x:v>
      </x:c>
      <x:c r="J60" s="28" t="n">
        <x:f>IF(J58&lt;0,1,0)</x:f>
        <x:v>0</x:v>
      </x:c>
      <x:c r="K60" s="28" t="n">
        <x:f>IF(K58&lt;0,1,0)</x:f>
        <x:v>0</x:v>
      </x:c>
      <x:c r="L60" s="28" t="n">
        <x:f>IF(L58&lt;0,1,0)</x:f>
        <x:v>0</x:v>
      </x:c>
      <x:c r="M60" s="28" t="n">
        <x:f>IF(M58&lt;0,1,0)</x:f>
        <x:v>0</x:v>
      </x:c>
      <x:c r="N60" s="28" t="n">
        <x:f>IF(N58&lt;0,1,0)</x:f>
        <x:v>0</x:v>
      </x:c>
      <x:c r="O60" s="28" t="n">
        <x:f>IF(O58&lt;0,1,0)</x:f>
        <x:v>0</x:v>
      </x:c>
      <x:c r="P60" s="28" t="n">
        <x:f>IF(P58&lt;0,1,0)</x:f>
        <x:v>0</x:v>
      </x:c>
      <x:c r="Q60" s="28" t="n">
        <x:f>IF(Q58&lt;0,1,0)</x:f>
        <x:v>0</x:v>
      </x:c>
      <x:c r="R60" s="28" t="n">
        <x:f>IF(R58&lt;0,1,0)</x:f>
        <x:v>0</x:v>
      </x:c>
      <x:c r="S60" s="28" t="n">
        <x:f>IF(S58&lt;0,1,0)</x:f>
        <x:v>0</x:v>
      </x:c>
      <x:c r="T60" s="28" t="n">
        <x:f>IF(T58&lt;0,1,0)</x:f>
        <x:v>0</x:v>
      </x:c>
      <x:c r="U60" s="28" t="n">
        <x:f>IF(U58&lt;0,1,0)</x:f>
        <x:v>0</x:v>
      </x:c>
      <x:c r="V60" s="28" t="n">
        <x:f>IF(V58&lt;0,1,0)</x:f>
        <x:v>0</x:v>
      </x:c>
      <x:c r="W60" s="28" t="n">
        <x:f>IF(W58&lt;0,1,0)</x:f>
        <x:v>0</x:v>
      </x:c>
      <x:c r="X60" s="28" t="n">
        <x:f>IF(X58&lt;0,1,0)</x:f>
        <x:v>0</x:v>
      </x:c>
      <x:c r="Y60" s="28" t="n">
        <x:f>IF(Y58&lt;0,1,0)</x:f>
        <x:v>0</x:v>
      </x:c>
      <x:c r="Z60" s="28" t="n">
        <x:f>IF(Z58&lt;0,1,0)</x:f>
        <x:v>0</x:v>
      </x:c>
      <x:c r="AA60" s="28" t="n">
        <x:f>IF(AA58&lt;0,1,0)</x:f>
        <x:v>0</x:v>
      </x:c>
      <x:c r="AB60" s="28" t="n">
        <x:f>IF(AB58&lt;0,1,0)</x:f>
        <x:v>0</x:v>
      </x:c>
      <x:c r="AC60" s="28" t="n">
        <x:f>IF(AC58&lt;0,1,0)</x:f>
        <x:v>0</x:v>
      </x:c>
      <x:c r="AD60" s="28" t="n">
        <x:f>IF(AD58&lt;0,1,0)</x:f>
        <x:v>0</x:v>
      </x:c>
      <x:c r="AE60" s="28" t="n">
        <x:f>IF(AE58&lt;0,1,0)</x:f>
        <x:v>0</x:v>
      </x:c>
      <x:c r="AF60" s="28" t="n">
        <x:f>IF(AF58&lt;0,1,0)</x:f>
        <x:v>0</x:v>
      </x:c>
      <x:c r="AG60" s="28" t="n">
        <x:f>IF(AG58&lt;0,1,0)</x:f>
        <x:v>0</x:v>
      </x:c>
      <x:c r="AH60" s="28" t="n">
        <x:f>IF(AH58&lt;0,1,0)</x:f>
        <x:v>0</x:v>
      </x:c>
      <x:c r="AI60" s="28" t="n">
        <x:f>IF(AI58&lt;0,1,0)</x:f>
        <x:v>0</x:v>
      </x:c>
      <x:c r="AJ60" s="28" t="n">
        <x:f>IF(AJ58&lt;0,1,0)</x:f>
        <x:v>0</x:v>
      </x:c>
      <x:c r="AK60" s="28" t="n">
        <x:f>IF(AK58&lt;0,1,0)</x:f>
        <x:v>0</x:v>
      </x:c>
      <x:c r="AL60" s="28" t="n">
        <x:f>IF(AL58&lt;0,1,0)</x:f>
        <x:v>0</x:v>
      </x:c>
      <x:c r="AM60" s="28" t="n">
        <x:f>IF(AM58&lt;0,1,0)</x:f>
        <x:v>0</x:v>
      </x:c>
    </x:row>
    <x:row r="61" ht="22" customHeight="1">
      <x:c r="A61" s="1"/>
      <x:c r="B61" s="1"/>
      <x:c r="C61" s="1" t="str">
        <x:v>Premium capacity excess check</x:v>
      </x:c>
      <x:c r="D61" s="27" t="n">
        <x:f>MAX(0,D25-D12*'Assumptions'!$D$39)</x:f>
        <x:v>0</x:v>
      </x:c>
      <x:c r="E61" s="27" t="n">
        <x:f>MAX(0,E25-E12*'Assumptions'!$D$39)</x:f>
        <x:v>0</x:v>
      </x:c>
      <x:c r="F61" s="27" t="n">
        <x:f>MAX(0,F25-F12*'Assumptions'!$D$39)</x:f>
        <x:v>0</x:v>
      </x:c>
      <x:c r="G61" s="27" t="n">
        <x:f>MAX(0,G25-G12*'Assumptions'!$D$39)</x:f>
        <x:v>0</x:v>
      </x:c>
      <x:c r="H61" s="27" t="n">
        <x:f>MAX(0,H25-H12*'Assumptions'!$D$39)</x:f>
        <x:v>0</x:v>
      </x:c>
      <x:c r="I61" s="27" t="n">
        <x:f>MAX(0,I25-I12*'Assumptions'!$D$39)</x:f>
        <x:v>0</x:v>
      </x:c>
      <x:c r="J61" s="27" t="n">
        <x:f>MAX(0,J25-J12*'Assumptions'!$D$39)</x:f>
        <x:v>0</x:v>
      </x:c>
      <x:c r="K61" s="27" t="n">
        <x:f>MAX(0,K25-K12*'Assumptions'!$D$39)</x:f>
        <x:v>0</x:v>
      </x:c>
      <x:c r="L61" s="27" t="n">
        <x:f>MAX(0,L25-L12*'Assumptions'!$D$39)</x:f>
        <x:v>0</x:v>
      </x:c>
      <x:c r="M61" s="27" t="n">
        <x:f>MAX(0,M25-M12*'Assumptions'!$D$39)</x:f>
        <x:v>0</x:v>
      </x:c>
      <x:c r="N61" s="27" t="n">
        <x:f>MAX(0,N25-N12*'Assumptions'!$D$39)</x:f>
        <x:v>0</x:v>
      </x:c>
      <x:c r="O61" s="27" t="n">
        <x:f>MAX(0,O25-O12*'Assumptions'!$D$39)</x:f>
        <x:v>0</x:v>
      </x:c>
      <x:c r="P61" s="27" t="n">
        <x:f>MAX(0,P25-P12*'Assumptions'!$D$39)</x:f>
        <x:v>0</x:v>
      </x:c>
      <x:c r="Q61" s="27" t="n">
        <x:f>MAX(0,Q25-Q12*'Assumptions'!$D$39)</x:f>
        <x:v>0</x:v>
      </x:c>
      <x:c r="R61" s="27" t="n">
        <x:f>MAX(0,R25-R12*'Assumptions'!$D$39)</x:f>
        <x:v>0</x:v>
      </x:c>
      <x:c r="S61" s="27" t="n">
        <x:f>MAX(0,S25-S12*'Assumptions'!$D$39)</x:f>
        <x:v>0</x:v>
      </x:c>
      <x:c r="T61" s="27" t="n">
        <x:f>MAX(0,T25-T12*'Assumptions'!$D$39)</x:f>
        <x:v>0</x:v>
      </x:c>
      <x:c r="U61" s="27" t="n">
        <x:f>MAX(0,U25-U12*'Assumptions'!$D$39)</x:f>
        <x:v>0</x:v>
      </x:c>
      <x:c r="V61" s="27" t="n">
        <x:f>MAX(0,V25-V12*'Assumptions'!$D$39)</x:f>
        <x:v>0</x:v>
      </x:c>
      <x:c r="W61" s="27" t="n">
        <x:f>MAX(0,W25-W12*'Assumptions'!$D$39)</x:f>
        <x:v>0</x:v>
      </x:c>
      <x:c r="X61" s="27" t="n">
        <x:f>MAX(0,X25-X12*'Assumptions'!$D$39)</x:f>
        <x:v>0</x:v>
      </x:c>
      <x:c r="Y61" s="27" t="n">
        <x:f>MAX(0,Y25-Y12*'Assumptions'!$D$39)</x:f>
        <x:v>0</x:v>
      </x:c>
      <x:c r="Z61" s="27" t="n">
        <x:f>MAX(0,Z25-Z12*'Assumptions'!$D$39)</x:f>
        <x:v>0</x:v>
      </x:c>
      <x:c r="AA61" s="27" t="n">
        <x:f>MAX(0,AA25-AA12*'Assumptions'!$D$39)</x:f>
        <x:v>0</x:v>
      </x:c>
      <x:c r="AB61" s="27" t="n">
        <x:f>MAX(0,AB25-AB12*'Assumptions'!$D$39)</x:f>
        <x:v>0</x:v>
      </x:c>
      <x:c r="AC61" s="27" t="n">
        <x:f>MAX(0,AC25-AC12*'Assumptions'!$D$39)</x:f>
        <x:v>0</x:v>
      </x:c>
      <x:c r="AD61" s="27" t="n">
        <x:f>MAX(0,AD25-AD12*'Assumptions'!$D$39)</x:f>
        <x:v>0</x:v>
      </x:c>
      <x:c r="AE61" s="27" t="n">
        <x:f>MAX(0,AE25-AE12*'Assumptions'!$D$39)</x:f>
        <x:v>0</x:v>
      </x:c>
      <x:c r="AF61" s="27" t="n">
        <x:f>MAX(0,AF25-AF12*'Assumptions'!$D$39)</x:f>
        <x:v>0</x:v>
      </x:c>
      <x:c r="AG61" s="27" t="n">
        <x:f>MAX(0,AG25-AG12*'Assumptions'!$D$39)</x:f>
        <x:v>0</x:v>
      </x:c>
      <x:c r="AH61" s="27" t="n">
        <x:f>MAX(0,AH25-AH12*'Assumptions'!$D$39)</x:f>
        <x:v>0</x:v>
      </x:c>
      <x:c r="AI61" s="27" t="n">
        <x:f>MAX(0,AI25-AI12*'Assumptions'!$D$39)</x:f>
        <x:v>0</x:v>
      </x:c>
      <x:c r="AJ61" s="27" t="n">
        <x:f>MAX(0,AJ25-AJ12*'Assumptions'!$D$39)</x:f>
        <x:v>0</x:v>
      </x:c>
      <x:c r="AK61" s="27" t="n">
        <x:f>MAX(0,AK25-AK12*'Assumptions'!$D$39)</x:f>
        <x:v>0</x:v>
      </x:c>
      <x:c r="AL61" s="27" t="n">
        <x:f>MAX(0,AL25-AL12*'Assumptions'!$D$39)</x:f>
        <x:v>0</x:v>
      </x:c>
      <x:c r="AM61" s="27" t="n">
        <x:f>MAX(0,AM25-AM12*'Assumptions'!$D$39)</x:f>
        <x:v>0</x:v>
      </x:c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</x:row>
  </x:sheetData>
  <x:conditionalFormatting sqref="D58:AM58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3C0CC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3" hidden="0" customWidth="1"/>
    <x:col min="6" max="6" width="72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2" customHeight="1">
      <x:c r="A2" s="1"/>
      <x:c r="B2" s="1"/>
      <x:c r="C2" s="2" t="str">
        <x:v>Supercars.Tours funding plan</x:v>
      </x:c>
      <x:c r="D2" s="1"/>
      <x:c r="E2" s="1"/>
      <x:c r="F2" s="1"/>
      <x:c r="G2" s="1"/>
      <x:c r="H2" s="1"/>
      <x:c r="I2" s="1"/>
    </x:row>
    <x:row r="3" ht="27" customHeight="1">
      <x:c r="A3" s="1"/>
      <x:c r="B3" s="1"/>
      <x:c r="C3" s="3" t="str">
        <x:v>Illustrative plan | EUR | UK operations | 18 October 2026</x:v>
      </x:c>
      <x:c r="D3" s="1"/>
      <x:c r="E3" s="1"/>
      <x:c r="F3" s="1"/>
      <x:c r="G3" s="1"/>
      <x:c r="H3" s="1"/>
      <x:c r="I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7" customHeight="1">
      <x:c r="A5" s="1"/>
      <x:c r="B5" s="1"/>
      <x:c r="C5" s="7" t="str">
        <x:v>Funding and deployment</x:v>
      </x:c>
      <x:c r="D5" s="7" t="str">
        <x:v>EUR</x:v>
      </x:c>
      <x:c r="E5" s="1"/>
      <x:c r="F5" s="1" t="str">
        <x:v>Notes</x:v>
      </x:c>
      <x:c r="G5" s="1"/>
      <x:c r="H5" s="1"/>
      <x:c r="I5" s="1"/>
    </x:row>
    <x:row r="6" ht="22" customHeight="1">
      <x:c r="A6" s="1"/>
      <x:c r="B6" s="1"/>
      <x:c r="C6" s="1" t="str">
        <x:v>Gross investment target</x:v>
      </x:c>
      <x:c r="D6" s="33" t="n">
        <x:f>'Assumptions'!D25</x:f>
        <x:v>850000</x:v>
      </x:c>
      <x:c r="E6" s="1"/>
      <x:c r="F6" s="1" t="str">
        <x:v>EUR confirmed. Founder range 700k to 1m; midpoint is not a final ask.</x:v>
      </x:c>
      <x:c r="G6" s="1"/>
      <x:c r="H6" s="1"/>
      <x:c r="I6" s="1"/>
    </x:row>
    <x:row r="7" ht="22" customHeight="1">
      <x:c r="A7" s="1"/>
      <x:c r="B7" s="1"/>
      <x:c r="C7" s="1" t="str">
        <x:v>Variable fundraising fee rate</x:v>
      </x:c>
      <x:c r="D7" s="34" t="n">
        <x:f>'Assumptions'!D24</x:f>
        <x:v>0.08</x:v>
      </x:c>
      <x:c r="E7" s="1"/>
      <x:c r="F7" s="1"/>
      <x:c r="G7" s="1"/>
      <x:c r="H7" s="1"/>
      <x:c r="I7" s="1"/>
    </x:row>
    <x:row r="8" ht="22" customHeight="1">
      <x:c r="A8" s="1"/>
      <x:c r="B8" s="1"/>
      <x:c r="C8" s="1" t="str">
        <x:v>Variable fundraising costs</x:v>
      </x:c>
      <x:c r="D8" s="35" t="n">
        <x:f>D6*D7</x:f>
        <x:v>68000</x:v>
      </x:c>
      <x:c r="E8" s="1"/>
      <x:c r="F8" s="1"/>
      <x:c r="G8" s="1"/>
      <x:c r="H8" s="1"/>
      <x:c r="I8" s="1"/>
    </x:row>
    <x:row r="9" ht="22" customHeight="1">
      <x:c r="A9" s="1"/>
      <x:c r="B9" s="1"/>
      <x:c r="C9" s="1" t="str">
        <x:v>Fixed fundraising and legal costs</x:v>
      </x:c>
      <x:c r="D9" s="33" t="n">
        <x:f>'Assumptions'!D23</x:f>
        <x:v>20000</x:v>
      </x:c>
      <x:c r="E9" s="1"/>
      <x:c r="F9" s="1"/>
      <x:c r="G9" s="1"/>
      <x:c r="H9" s="1"/>
      <x:c r="I9" s="1"/>
    </x:row>
    <x:row r="10" ht="22" customHeight="1">
      <x:c r="A10" s="1"/>
      <x:c r="B10" s="1"/>
      <x:c r="C10" s="17" t="str">
        <x:v>Total fundraising costs</x:v>
      </x:c>
      <x:c r="D10" s="31" t="n">
        <x:f>SUM(D8:D9)</x:f>
        <x:v>88000</x:v>
      </x:c>
      <x:c r="E10" s="1"/>
      <x:c r="F10" s="1"/>
      <x:c r="G10" s="1"/>
      <x:c r="H10" s="1"/>
      <x:c r="I10" s="1"/>
    </x:row>
    <x:row r="11" ht="22" customHeight="1">
      <x:c r="A11" s="1"/>
      <x:c r="B11" s="1"/>
      <x:c r="C11" s="1"/>
      <x:c r="D11" s="20"/>
      <x:c r="E11" s="1"/>
      <x:c r="F11" s="1"/>
      <x:c r="G11" s="1"/>
      <x:c r="H11" s="1"/>
      <x:c r="I11" s="1"/>
    </x:row>
    <x:row r="12" ht="22" customHeight="1">
      <x:c r="A12" s="1"/>
      <x:c r="B12" s="1"/>
      <x:c r="C12" s="17" t="str">
        <x:v>Net proceeds available</x:v>
      </x:c>
      <x:c r="D12" s="31" t="n">
        <x:f>D6-D10</x:f>
        <x:v>762000</x:v>
      </x:c>
      <x:c r="E12" s="1"/>
      <x:c r="F12" s="1" t="str">
        <x:v>Assumes one completed equity raise before M01.</x:v>
      </x:c>
      <x:c r="G12" s="1"/>
      <x:c r="H12" s="1"/>
      <x:c r="I12" s="1"/>
    </x:row>
    <x:row r="13" ht="22" customHeight="1">
      <x:c r="A13" s="1"/>
      <x:c r="B13" s="1"/>
      <x:c r="C13" s="1"/>
      <x:c r="D13" s="20"/>
      <x:c r="E13" s="1"/>
      <x:c r="F13" s="1"/>
      <x:c r="G13" s="1"/>
      <x:c r="H13" s="1"/>
      <x:c r="I13" s="1"/>
    </x:row>
    <x:row r="14" ht="22" customHeight="1">
      <x:c r="A14" s="1"/>
      <x:c r="B14" s="1"/>
      <x:c r="C14" s="1" t="str">
        <x:v>Minimum cash reserve</x:v>
      </x:c>
      <x:c r="D14" s="33" t="n">
        <x:f>'Assumptions'!D26</x:f>
        <x:v>75000</x:v>
      </x:c>
      <x:c r="E14" s="1"/>
      <x:c r="F14" s="1"/>
      <x:c r="G14" s="1"/>
      <x:c r="H14" s="1"/>
      <x:c r="I14" s="1"/>
    </x:row>
    <x:row r="15" ht="22" customHeight="1">
      <x:c r="A15" s="1"/>
      <x:c r="B15" s="1"/>
      <x:c r="C15" s="17" t="str">
        <x:v>Gross needed for this 36 month plan</x:v>
      </x:c>
      <x:c r="D15" s="32" t="n">
        <x:f>MAX(0,(D14-MIN('Forecast'!D59:AM59)+D9)/(1-D7))</x:f>
        <x:v>433718.6898259838</x:v>
      </x:c>
      <x:c r="E15" s="1"/>
      <x:c r="F15" s="1" t="str">
        <x:v>Funding need from minimum unfinanced cash plus reserve and fees.</x:v>
      </x:c>
      <x:c r="G15" s="1"/>
      <x:c r="H15" s="1"/>
      <x:c r="I15" s="1"/>
    </x:row>
    <x:row r="16" ht="22" customHeight="1">
      <x:c r="A16" s="1"/>
      <x:c r="B16" s="1"/>
      <x:c r="C16" s="1" t="str">
        <x:v>Gap to planning target</x:v>
      </x:c>
      <x:c r="D16" s="35" t="n">
        <x:f>MAX(0,D15-D6)</x:f>
        <x:v>0</x:v>
      </x:c>
      <x:c r="E16" s="1"/>
      <x:c r="F16" s="1"/>
      <x:c r="G16" s="1"/>
      <x:c r="H16" s="1"/>
      <x:c r="I16" s="1"/>
    </x:row>
    <x:row r="17" ht="22" customHeight="1">
      <x:c r="A17" s="1"/>
      <x:c r="B17" s="1"/>
      <x:c r="C17" s="1"/>
      <x:c r="D17" s="20"/>
      <x:c r="E17" s="1"/>
      <x:c r="F17" s="1"/>
      <x:c r="G17" s="1"/>
      <x:c r="H17" s="1"/>
      <x:c r="I17" s="1"/>
    </x:row>
    <x:row r="18" ht="22" customHeight="1">
      <x:c r="A18" s="1"/>
      <x:c r="B18" s="1"/>
      <x:c r="C18" s="1"/>
      <x:c r="D18" s="20"/>
      <x:c r="E18" s="1"/>
      <x:c r="F18" s="1"/>
      <x:c r="G18" s="1"/>
      <x:c r="H18" s="1"/>
      <x:c r="I18" s="1"/>
    </x:row>
    <x:row r="19" ht="22" customHeight="1">
      <x:c r="A19" s="1"/>
      <x:c r="B19" s="1"/>
      <x:c r="C19" s="1"/>
      <x:c r="D19" s="20"/>
      <x:c r="E19" s="1"/>
      <x:c r="F19" s="1"/>
      <x:c r="G19" s="1"/>
      <x:c r="H19" s="1"/>
      <x:c r="I19" s="1"/>
    </x:row>
    <x:row r="20" ht="22" customHeight="1">
      <x:c r="A20" s="1"/>
      <x:c r="B20" s="1"/>
      <x:c r="C20" s="1" t="str">
        <x:v>Year 1 product build and hosting</x:v>
      </x:c>
      <x:c r="D20" s="33" t="n">
        <x:f>SUM('Forecast'!D50:O50,'Forecast'!D43:O43)</x:f>
        <x:v>102000</x:v>
      </x:c>
      <x:c r="E20" s="1"/>
      <x:c r="F20" s="1"/>
      <x:c r="G20" s="1"/>
      <x:c r="H20" s="1"/>
      <x:c r="I20" s="1"/>
    </x:row>
    <x:row r="21" ht="22" customHeight="1">
      <x:c r="A21" s="1"/>
      <x:c r="B21" s="1"/>
      <x:c r="C21" s="1" t="str">
        <x:v>Year 1 team costs</x:v>
      </x:c>
      <x:c r="D21" s="33" t="n">
        <x:f>SUM('Forecast'!D42:O42)</x:f>
        <x:v>156000</x:v>
      </x:c>
      <x:c r="E21" s="1"/>
      <x:c r="F21" s="1"/>
      <x:c r="G21" s="1"/>
      <x:c r="H21" s="1"/>
      <x:c r="I21" s="1"/>
    </x:row>
    <x:row r="22" ht="22" customHeight="1">
      <x:c r="A22" s="1"/>
      <x:c r="B22" s="1"/>
      <x:c r="C22" s="1" t="str">
        <x:v>Year 1 marketing</x:v>
      </x:c>
      <x:c r="D22" s="33" t="n">
        <x:f>SUM('Forecast'!D46:O46)</x:f>
        <x:v>42000</x:v>
      </x:c>
      <x:c r="E22" s="1"/>
      <x:c r="F22" s="1"/>
      <x:c r="G22" s="1"/>
      <x:c r="H22" s="1"/>
      <x:c r="I22" s="1"/>
    </x:row>
    <x:row r="23" ht="22" customHeight="1">
      <x:c r="A23" s="1"/>
      <x:c r="B23" s="1"/>
      <x:c r="C23" s="1" t="str">
        <x:v>Year 1 administration and insurance</x:v>
      </x:c>
      <x:c r="D23" s="33" t="n">
        <x:f>SUM('Forecast'!D44:O45)</x:f>
        <x:v>24000</x:v>
      </x:c>
      <x:c r="E23" s="1"/>
      <x:c r="F23" s="1"/>
      <x:c r="G23" s="1"/>
      <x:c r="H23" s="1"/>
      <x:c r="I23" s="1"/>
    </x:row>
    <x:row r="24" ht="22" customHeight="1">
      <x:c r="A24" s="1"/>
      <x:c r="B24" s="1"/>
      <x:c r="C24" s="1" t="str">
        <x:v>Year 1 collection and delivery costs</x:v>
      </x:c>
      <x:c r="D24" s="33" t="n">
        <x:f>SUM('Forecast'!D40:O41)</x:f>
        <x:v>4398.58125</x:v>
      </x:c>
      <x:c r="E24" s="1"/>
      <x:c r="F24" s="1"/>
      <x:c r="G24" s="1"/>
      <x:c r="H24" s="1"/>
      <x:c r="I24" s="1"/>
    </x:row>
    <x:row r="25" ht="22" customHeight="1">
      <x:c r="A25" s="1"/>
      <x:c r="B25" s="1"/>
      <x:c r="C25" s="1" t="str">
        <x:v>Year 1 contingency cash spending</x:v>
      </x:c>
      <x:c r="D25" s="33" t="n">
        <x:f>SUM('Forecast'!D52:O52)</x:f>
        <x:v>32839.858125</x:v>
      </x:c>
      <x:c r="E25" s="1"/>
      <x:c r="F25" s="1"/>
      <x:c r="G25" s="1"/>
      <x:c r="H25" s="1"/>
      <x:c r="I25" s="1"/>
    </x:row>
    <x:row r="26" ht="22" customHeight="1">
      <x:c r="A26" s="1"/>
      <x:c r="B26" s="1"/>
      <x:c r="C26" s="17" t="str">
        <x:v>Year 1 total cash spending</x:v>
      </x:c>
      <x:c r="D26" s="31" t="n">
        <x:f>SUM(D20:D25)</x:f>
        <x:v>361238.43937499996</x:v>
      </x:c>
      <x:c r="E26" s="1"/>
      <x:c r="F26" s="1" t="str">
        <x:v>Cash budget includes expensed development and contingency.</x:v>
      </x:c>
      <x:c r="G26" s="1"/>
      <x:c r="H26" s="1"/>
      <x:c r="I26" s="1"/>
    </x:row>
    <x:row r="27" ht="22" customHeight="1">
      <x:c r="A27" s="1"/>
      <x:c r="B27" s="1"/>
      <x:c r="C27" s="1" t="str">
        <x:v>Year 1 customer collections</x:v>
      </x:c>
      <x:c r="D27" s="33" t="n">
        <x:f>SUM('Forecast'!D36:O36)</x:f>
        <x:v>107461.875</x:v>
      </x:c>
      <x:c r="E27" s="1"/>
      <x:c r="F27" s="1"/>
      <x:c r="G27" s="1"/>
      <x:c r="H27" s="1"/>
      <x:c r="I27" s="1"/>
    </x:row>
    <x:row r="28" ht="22" customHeight="1">
      <x:c r="A28" s="1"/>
      <x:c r="B28" s="1"/>
      <x:c r="C28" s="17" t="str">
        <x:v>Year 1 net operating cash need</x:v>
      </x:c>
      <x:c r="D28" s="31" t="n">
        <x:f>D26-D27</x:f>
        <x:v>253776.56437499996</x:v>
      </x:c>
      <x:c r="E28" s="1"/>
      <x:c r="F28" s="1"/>
      <x:c r="G28" s="1"/>
      <x:c r="H28" s="1"/>
      <x:c r="I28" s="1"/>
    </x:row>
    <x:row r="29" ht="22" customHeight="1">
      <x:c r="A29" s="1"/>
      <x:c r="B29" s="1"/>
      <x:c r="C29" s="17" t="str">
        <x:v>Proceeds remaining after Year 1</x:v>
      </x:c>
      <x:c r="D29" s="31" t="n">
        <x:f>D12-D28</x:f>
        <x:v>508223.43562500004</x:v>
      </x:c>
      <x:c r="E29" s="1"/>
      <x:c r="F29" s="1" t="str">
        <x:v>Opening cash excluded here; see Forecast for total cash.</x:v>
      </x:c>
      <x:c r="G29" s="1"/>
      <x:c r="H29" s="1"/>
      <x:c r="I29" s="1"/>
    </x:row>
    <x:row r="30" ht="22" customHeight="1">
      <x:c r="A30" s="1"/>
      <x:c r="B30" s="1"/>
      <x:c r="C30" s="1"/>
      <x:c r="D30" s="20"/>
      <x:c r="E30" s="1"/>
      <x:c r="F30" s="1"/>
      <x:c r="G30" s="1"/>
      <x:c r="H30" s="1"/>
      <x:c r="I30" s="1"/>
    </x:row>
    <x:row r="31" ht="22" customHeight="1">
      <x:c r="A31" s="1"/>
      <x:c r="B31" s="1"/>
      <x:c r="C31" s="1"/>
      <x:c r="D31" s="20"/>
      <x:c r="E31" s="1"/>
      <x:c r="F31" s="1"/>
      <x:c r="G31" s="1"/>
      <x:c r="H31" s="1"/>
      <x:c r="I31" s="1"/>
    </x:row>
    <x:row r="32" ht="22" customHeight="1">
      <x:c r="A32" s="1"/>
      <x:c r="B32" s="1"/>
      <x:c r="C32" s="1"/>
      <x:c r="D32" s="20"/>
      <x:c r="E32" s="1"/>
      <x:c r="F32" s="1"/>
      <x:c r="G32" s="1"/>
      <x:c r="H32" s="1"/>
      <x:c r="I32" s="1"/>
    </x:row>
    <x:row r="33" ht="22" customHeight="1">
      <x:c r="A33" s="1"/>
      <x:c r="B33" s="1"/>
      <x:c r="C33" s="1" t="str">
        <x:v>Pre money valuation</x:v>
      </x:c>
      <x:c r="D33" s="33" t="str">
        <x:f>IF(ISNUMBER('Assumptions'!D35),'Assumptions'!D35,"n.a.")</x:f>
        <x:v>n.a.</x:v>
      </x:c>
      <x:c r="E33" s="1"/>
      <x:c r="F33" s="1" t="str">
        <x:v>Valuation and share count deliberately unset.</x:v>
      </x:c>
      <x:c r="G33" s="1"/>
      <x:c r="H33" s="1"/>
      <x:c r="I33" s="1"/>
    </x:row>
    <x:row r="34" ht="22" customHeight="1">
      <x:c r="A34" s="1"/>
      <x:c r="B34" s="1"/>
      <x:c r="C34" s="1" t="str">
        <x:v>Post money valuation</x:v>
      </x:c>
      <x:c r="D34" s="35" t="str">
        <x:f>IF(ISNUMBER(D33),D33+D6,"n.a.")</x:f>
        <x:v>n.a.</x:v>
      </x:c>
      <x:c r="E34" s="1"/>
      <x:c r="F34" s="1"/>
      <x:c r="G34" s="1"/>
      <x:c r="H34" s="1"/>
      <x:c r="I34" s="1"/>
    </x:row>
    <x:row r="35" ht="22" customHeight="1">
      <x:c r="A35" s="1"/>
      <x:c r="B35" s="1"/>
      <x:c r="C35" s="1" t="str">
        <x:v>New investor ownership share</x:v>
      </x:c>
      <x:c r="D35" s="36" t="str">
        <x:f>IF(ISNUMBER(D34),D6/D34,"n.a.")</x:f>
        <x:v>n.a.</x:v>
      </x:c>
      <x:c r="E35" s="1"/>
      <x:c r="F35" s="1"/>
      <x:c r="G35" s="1"/>
      <x:c r="H35" s="1"/>
      <x:c r="I35" s="1"/>
    </x:row>
    <x:row r="36" ht="22" customHeight="1">
      <x:c r="A36" s="1"/>
      <x:c r="B36" s="1"/>
      <x:c r="C36" s="1" t="str">
        <x:v>Existing fully diluted shares</x:v>
      </x:c>
      <x:c r="D36" s="27" t="str">
        <x:f>IF(ISNUMBER('Assumptions'!D36),'Assumptions'!D36,"n.a.")</x:f>
        <x:v>n.a.</x:v>
      </x:c>
      <x:c r="E36" s="1"/>
      <x:c r="F36" s="1"/>
      <x:c r="G36" s="1"/>
      <x:c r="H36" s="1"/>
      <x:c r="I36" s="1"/>
    </x:row>
    <x:row r="37" ht="22" customHeight="1">
      <x:c r="A37" s="1"/>
      <x:c r="B37" s="1"/>
      <x:c r="C37" s="1" t="str">
        <x:v>Implied price per share</x:v>
      </x:c>
      <x:c r="D37" s="25" t="str">
        <x:f>IF(AND(ISNUMBER(D33),ISNUMBER(D36)),IF(D36&gt;0,D33/D36,"n.a."),"n.a.")</x:f>
        <x:v>n.a.</x:v>
      </x:c>
      <x:c r="E37" s="1"/>
      <x:c r="F37" s="1"/>
      <x:c r="G37" s="1"/>
      <x:c r="H37" s="1"/>
      <x:c r="I37" s="1"/>
    </x:row>
    <x:row r="38" ht="22" customHeight="1">
      <x:c r="A38" s="1"/>
      <x:c r="B38" s="1"/>
      <x:c r="C38" s="1" t="str">
        <x:v>New shares issued</x:v>
      </x:c>
      <x:c r="D38" s="28" t="str">
        <x:f>IF(ISNUMBER(D37),IF(D37&gt;0,D6/D37,"n.a."),"n.a.")</x:f>
        <x:v>n.a.</x:v>
      </x:c>
      <x:c r="E38" s="1"/>
      <x:c r="F38" s="1"/>
      <x:c r="G38" s="1"/>
      <x:c r="H38" s="1"/>
      <x:c r="I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</x:row>
    <x:row r="41" ht="22" customHeight="1">
      <x:c r="A41" s="1"/>
      <x:c r="B41" s="1"/>
      <x:c r="C41" s="1" t="str">
        <x:v>Ownership calculation assumes a simple primary equity round.</x:v>
      </x:c>
      <x:c r="D41" s="1"/>
      <x:c r="E41" s="1"/>
      <x:c r="F41" s="1"/>
      <x:c r="G41" s="1"/>
      <x:c r="H41" s="1"/>
      <x:c r="I41" s="1"/>
    </x:row>
    <x:row r="42" ht="22" customHeight="1">
      <x:c r="A42" s="1"/>
      <x:c r="B42" s="1"/>
      <x:c r="C42" s="1" t="str">
        <x:v>Rebuild for options issued at close, convertibles, debt, secondaries or different share classes.</x:v>
      </x:c>
      <x:c r="D42" s="1"/>
      <x:c r="E42" s="1"/>
      <x:c r="F42" s="1"/>
      <x:c r="G42" s="1"/>
      <x:c r="H42" s="1"/>
      <x:c r="I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</x:row>
  </x:sheetData>
  <x:pageMargins left="0.7" right="0.7" top="0.75" bottom="0.75" header="0.3" footer="0.3"/>
</x:worksheet>
</file>