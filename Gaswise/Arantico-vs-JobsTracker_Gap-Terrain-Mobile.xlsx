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Matrice Terrain &amp; Mobile" sheetId="2" state="visible" r:id="rId4"/>
    <sheet name="Différenciateurs" sheetId="3" state="visible" r:id="rId5"/>
    <sheet name="À vérifier &amp; Priorités" sheetId="4" state="visible" r:id="rId6"/>
  </sheets>
  <definedNames>
    <definedName function="false" hidden="true" localSheetId="1" name="_xlnm._FilterDatabase" vbProcedure="false">'Matrice Terrain &amp; Mobile'!$A$2:$J$37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<sst xmlns="http://schemas.openxmlformats.org/spreadsheetml/2006/main" count="392" uniqueCount="205">
  <si>
    <t xml:space="preserve">Arantico ServicePro  vs  Jobs Tracker</t>
  </si>
  <si>
    <t xml:space="preserve">Matrice de gaps — périmètre : workflow terrain &amp; mobile</t>
  </si>
  <si>
    <t xml:space="preserve">Généré le 2026-08-04 · Jobs Tracker @ commit c9e6b0e</t>
  </si>
  <si>
    <t xml:space="preserve">Objet</t>
  </si>
  <si>
    <t xml:space="preserve">Comparer, côté terrain et mobile, ce que propose Arantico ServicePro à ce que fait déjà le Jobs Tracker, pour isoler les vrais trous à combler (THEM-ONLY) et les différenciateurs à défendre (US-ONLY).</t>
  </si>
  <si>
    <t xml:space="preserve">Conclusion en une ligne</t>
  </si>
  <si>
    <t xml:space="preserve">Sur le périmètre terrain/mobile, le Jobs Tracker DÉPASSE le planner web d'Arantico sur la plupart des axes. Il n'y a qu'une poignée de vrais gaps THEM-ONLY. Ne pas construire pour « rattraper Arantico » : construire les 3-4 items P1/P2 ci-après, et défendre les différenciateurs.</t>
  </si>
  <si>
    <t xml:space="preserve">⚠ Fiabilité des données Arantico (à lire)</t>
  </si>
  <si>
    <t xml:space="preserve">Le login fourni donne accès UNIQUEMENT au planner web bureau/coordinateur (dispatch). L'app mobile technicien d'Arantico (ServicePro Assist) et le module PPM (Health Pro) N'ONT PAS pu être testés — ce sont des produits séparés.</t>
  </si>
  <si>
    <t xml:space="preserve">→ Colonne « Source Them » : « Observé » = vu en direct dans l'app (fiable) ; « Marketing » = affirmé sur le site Arantico, NON vérifié ; « Inconnu » = aucune info. Les lignes mobiles d'Arantico sont majoritairement « Marketing ».</t>
  </si>
  <si>
    <t xml:space="preserve">→ Les lignes « À VÉRIFIER » listent ce qu'il faut confirmer avant toute décision de build.</t>
  </si>
  <si>
    <t xml:space="preserve">Légende — colonne Gap</t>
  </si>
  <si>
    <t xml:space="preserve">THEM-ONLY  : Arantico l'a, pas nous (ou partiel) → candidat à construire.</t>
  </si>
  <si>
    <t xml:space="preserve">US-ONLY    : nous l'avons, pas Arantico → différenciateur, à mettre en avant en vente.</t>
  </si>
  <si>
    <t xml:space="preserve">BOTH       : parité fonctionnelle → ignorer (souvent nous sommes plus riches, noté en Notes).</t>
  </si>
  <si>
    <t xml:space="preserve">À VÉRIFIER : dépend d'une capacité Arantico non confirmée → à valider avant de trancher.</t>
  </si>
  <si>
    <t xml:space="preserve">Légende — statut Jobs Tracker (repris de FEATURE-INVENTORY §Status)</t>
  </si>
  <si>
    <t xml:space="preserve">Live = en production · Built = mergé, pas encore éprouvé · Partiel = marche avec limite · Gap = manquant assumé (§14).</t>
  </si>
  <si>
    <t xml:space="preserve">Onglets</t>
  </si>
  <si>
    <t xml:space="preserve">Matrice Terrain &amp; Mobile : le comparatif ligne à ligne.</t>
  </si>
  <si>
    <t xml:space="preserve">Différenciateurs : ce sur quoi le Jobs Tracker devance Arantico (à défendre).</t>
  </si>
  <si>
    <t xml:space="preserve">À vérifier &amp; Priorités : les inconnues Arantico + la liste de build priorisée.</t>
  </si>
  <si>
    <t xml:space="preserve">Rappel</t>
  </si>
  <si>
    <t xml:space="preserve">Documenter écran par écran l'app d'un concurrent avec ses identifiants pour en reproduire les fonctions est en zone grise vis-à-vis des CGU d'Arantico. Ce comparatif reste un benchmark fonctionnel ; l'usage est votre responsabilité.</t>
  </si>
  <si>
    <t xml:space="preserve">Matrice de gaps — Terrain &amp; Mobile</t>
  </si>
  <si>
    <t xml:space="preserve">#</t>
  </si>
  <si>
    <t xml:space="preserve">Catégorie</t>
  </si>
  <si>
    <t xml:space="preserve">Capacité (terrain / mobile)</t>
  </si>
  <si>
    <t xml:space="preserve">Arantico (Them)</t>
  </si>
  <si>
    <t xml:space="preserve">Source Them</t>
  </si>
  <si>
    <t xml:space="preserve">Jobs Tracker (Us)</t>
  </si>
  <si>
    <t xml:space="preserve">Statut Us</t>
  </si>
  <si>
    <t xml:space="preserve">Gap</t>
  </si>
  <si>
    <t xml:space="preserve">Priorité</t>
  </si>
  <si>
    <t xml:space="preserve">Recommandation / Notes</t>
  </si>
  <si>
    <t xml:space="preserve">Workflow &amp; statut</t>
  </si>
  <si>
    <t xml:space="preserve">Dispatch du job vers le mobile du technicien (OnDevice)</t>
  </si>
  <si>
    <t xml:space="preserve">Oui</t>
  </si>
  <si>
    <t xml:space="preserve">Observé</t>
  </si>
  <si>
    <t xml:space="preserve">Native (Built) + PWA (Live), liste jobs du jour</t>
  </si>
  <si>
    <t xml:space="preserve">Live</t>
  </si>
  <si>
    <t xml:space="preserve">BOTH</t>
  </si>
  <si>
    <t xml:space="preserve">Parité. Arantico matérialise l'envoi par le statut « OnDevice ».</t>
  </si>
  <si>
    <t xml:space="preserve">Accusé Accept / Reject du job par le technicien sur l'appareil</t>
  </si>
  <si>
    <t xml:space="preserve">Assignation pilotée bureau ; pas d'étape accept/refus côté worker</t>
  </si>
  <si>
    <t xml:space="preserve">Partiel</t>
  </si>
  <si>
    <t xml:space="preserve">THEM-ONLY</t>
  </si>
  <si>
    <t xml:space="preserve">P2</t>
  </si>
  <si>
    <t xml:space="preserve">Ajouter un accusé d'acceptation/refus terrain (traçabilité + responsabilisation).</t>
  </si>
  <si>
    <t xml:space="preserve">Statut « en route » / Travel To</t>
  </si>
  <si>
    <t xml:space="preserve">Travel start (« on route »), alimente le suivi de trajet</t>
  </si>
  <si>
    <t xml:space="preserve"> Parité, mais nous capturons le trajet GPS complet en plus.</t>
  </si>
  <si>
    <t xml:space="preserve">Statut « sur site » / On Site (arrivée)</t>
  </si>
  <si>
    <t xml:space="preserve">Arrival confirm + tap-in GPS (grading précision) + photo d'arrivée</t>
  </si>
  <si>
    <t xml:space="preserve">Nous plus riches : GPS gradé + photo horodatée.</t>
  </si>
  <si>
    <t xml:space="preserve">Statut « quitté le site » / Left Site (départ)</t>
  </si>
  <si>
    <t xml:space="preserve">Tap-out GPS</t>
  </si>
  <si>
    <t xml:space="preserve">Parité.</t>
  </si>
  <si>
    <t xml:space="preserve">Photo de clôture invitée à la sortie</t>
  </si>
  <si>
    <t xml:space="preserve">Inconnu</t>
  </si>
  <si>
    <t xml:space="preserve">Photo d'arrivée invitée ; clôture NON invitée</t>
  </si>
  <si>
    <t xml:space="preserve">À VÉRIFIER</t>
  </si>
  <si>
    <t xml:space="preserve">P3</t>
  </si>
  <si>
    <t xml:space="preserve">Gap connu JT (§14 #14). Ajouter un prompt photo au tap-out. Vérifier si Arantico l'impose.</t>
  </si>
  <si>
    <t xml:space="preserve">Clôture + états de facturation (Finished → Completed → Invoiced)</t>
  </si>
  <si>
    <t xml:space="preserve">Completed + sign-off client</t>
  </si>
  <si>
    <t xml:space="preserve">Parité sur la clôture.</t>
  </si>
  <si>
    <t xml:space="preserve">Signature client à la complétion</t>
  </si>
  <si>
    <t xml:space="preserve">Marketing</t>
  </si>
  <si>
    <t xml:space="preserve">Sign-off client (ou flag « client absent »)</t>
  </si>
  <si>
    <t xml:space="preserve">État « Pièces requises » bloquant, remonté au bureau (PartsReq.)</t>
  </si>
  <si>
    <t xml:space="preserve">Variations + matériaux terrain ; pas d'état « pièces requises » bloquant/notifiant</t>
  </si>
  <si>
    <t xml:space="preserve">Ajouter un statut parts-required qui met le job en attente et notifie le bureau.</t>
  </si>
  <si>
    <t xml:space="preserve">« Action supplémentaire requise » (FurtherAction)</t>
  </si>
  <si>
    <t xml:space="preserve">Variations terrain + follow-up jobs (module Projects)</t>
  </si>
  <si>
    <t xml:space="preserve">Couvert indirectement ; formaliser un état équivalent si utile.</t>
  </si>
  <si>
    <t xml:space="preserve">Capture terrain</t>
  </si>
  <si>
    <t xml:space="preserve">Checklists / formulaires terrain configurables (cases à cocher + listes déroulantes)</t>
  </si>
  <si>
    <t xml:space="preserve">RAMS/H&amp;S uniquement ; pas de form-builder générique par type de job</t>
  </si>
  <si>
    <t xml:space="preserve">P1</t>
  </si>
  <si>
    <t xml:space="preserve">GAP TERRAIN N°1. Construire des formulaires/checklists configurables par type de job (relevés, conformité, PPM).</t>
  </si>
  <si>
    <t xml:space="preserve">Capture photo sur site</t>
  </si>
  <si>
    <t xml:space="preserve">Photos site à tout moment, GPS + légende</t>
  </si>
  <si>
    <t xml:space="preserve">Nous plus riches (géotag + caption).</t>
  </si>
  <si>
    <t xml:space="preserve">Notes terrain</t>
  </si>
  <si>
    <t xml:space="preserve">Notes threaded + messagerie temps réel</t>
  </si>
  <si>
    <t xml:space="preserve">Nous plus riches.</t>
  </si>
  <si>
    <t xml:space="preserve">Saisie feuille de temps sur mobile</t>
  </si>
  <si>
    <t xml:space="preserve">Timesheet hebdo + géo-vérifié + règles de trajet §8.6</t>
  </si>
  <si>
    <t xml:space="preserve">Nous BEAUCOUP plus riches (heures défendables).</t>
  </si>
  <si>
    <t xml:space="preserve">Matériaux / pièces utilisées depuis le terrain</t>
  </si>
  <si>
    <t xml:space="preserve">Materials + variations saisis sur site</t>
  </si>
  <si>
    <t xml:space="preserve">Détails asset (marque/modèle) accessibles au technicien</t>
  </si>
  <si>
    <t xml:space="preserve">Aucun registre d'asset (§14 #5)</t>
  </si>
  <si>
    <t xml:space="preserve">Construire un registre d'assets. Débloque aussi PPM + contrats de maintenance (fort en vente).</t>
  </si>
  <si>
    <t xml:space="preserve">Historique de service par asset / site sur mobile</t>
  </si>
  <si>
    <t xml:space="preserve">Historique par job oui ; pas par asset/site</t>
  </si>
  <si>
    <t xml:space="preserve">Dépend du registre d'asset (ligne précédente).</t>
  </si>
  <si>
    <t xml:space="preserve">Log d'un job réactif directement depuis le terrain</t>
  </si>
  <si>
    <t xml:space="preserve">Variations + follow-up ; pas de « nouveau job réactif » direct terrain</t>
  </si>
  <si>
    <t xml:space="preserve">Permettre au technicien de créer un job réactif sur place.</t>
  </si>
  <si>
    <t xml:space="preserve">Séquence guidée par workflow sur mobile</t>
  </si>
  <si>
    <t xml:space="preserve">Day gate + RAMS gate + off-day read-only, imposés côté serveur</t>
  </si>
  <si>
    <t xml:space="preserve">Nous plus stricts (discipline imposée API, pas juste UI).</t>
  </si>
  <si>
    <t xml:space="preserve">Plateforme mobile</t>
  </si>
  <si>
    <t xml:space="preserve">Directions / itinéraire in-app</t>
  </si>
  <si>
    <t xml:space="preserve">Leaflet + OSRM puis relais Google Maps / Waze</t>
  </si>
  <si>
    <t xml:space="preserve">US-ONLY</t>
  </si>
  <si>
    <t xml:space="preserve">Différenciateur probable — à confirmer côté Arantico.</t>
  </si>
  <si>
    <t xml:space="preserve">App native iOS + Android publiée en stores</t>
  </si>
  <si>
    <t xml:space="preserve">Native prête (Built) mais pas encore publiée en stores</t>
  </si>
  <si>
    <t xml:space="preserve">Built</t>
  </si>
  <si>
    <t xml:space="preserve">Gap temporaire : finaliser la publication App Store / Play Store.</t>
  </si>
  <si>
    <t xml:space="preserve">PWA installable (web) hors-store</t>
  </si>
  <si>
    <t xml:space="preserve">Live (shell offline, background sync côté web)</t>
  </si>
  <si>
    <t xml:space="preserve">Différenciateur probable.</t>
  </si>
  <si>
    <t xml:space="preserve">Écritures OFFLINE dans l'app native</t>
  </si>
  <si>
    <t xml:space="preserve">Gap — écritures offline perdues sur natif (§14 #1)</t>
  </si>
  <si>
    <t xml:space="preserve">PRIORITÉ DE VÉRIF : si Arantico fait de l'offline-first réel, c'est notre plus gros gap. Sinon non-sujet.</t>
  </si>
  <si>
    <t xml:space="preserve">Lectures offline</t>
  </si>
  <si>
    <t xml:space="preserve">Confirmer le comportement offline d'Arantico.</t>
  </si>
  <si>
    <t xml:space="preserve">Push notifications</t>
  </si>
  <si>
    <t xml:space="preserve">Built (nécessite projet Firebase)</t>
  </si>
  <si>
    <t xml:space="preserve">Finaliser Firebase ; vérifier si Arantico pousse des notifs.</t>
  </si>
  <si>
    <t xml:space="preserve">Messagerie technicien ↔ bureau temps réel</t>
  </si>
  <si>
    <t xml:space="preserve">Live via SignalR</t>
  </si>
  <si>
    <t xml:space="preserve">Différenciateur probable (Arantico = notes, pas chat temps réel).</t>
  </si>
  <si>
    <t xml:space="preserve">Bannières / notices de site poussées au technicien</t>
  </si>
  <si>
    <t xml:space="preserve">Live (le bureau pousse une notice à l'écran)</t>
  </si>
  <si>
    <t xml:space="preserve">App white-label (logo / couleurs client)</t>
  </si>
  <si>
    <t xml:space="preserve">Live — white-label profond porté jusque dans le mobile</t>
  </si>
  <si>
    <t xml:space="preserve">Localisation / télématique</t>
  </si>
  <si>
    <t xml:space="preserve">Grading de précision GPS (vrai fix vs estimation IP)</t>
  </si>
  <si>
    <t xml:space="preserve">Non</t>
  </si>
  <si>
    <t xml:space="preserve">Différenciateur.</t>
  </si>
  <si>
    <t xml:space="preserve">Feuilles de temps géo-vérifiées</t>
  </si>
  <si>
    <t xml:space="preserve">Live (coordonnées tap-in + grade attachés)</t>
  </si>
  <si>
    <t xml:space="preserve">Différenciateur fort.</t>
  </si>
  <si>
    <t xml:space="preserve">Reconstruction de trajet + CO₂ par worker-jour</t>
  </si>
  <si>
    <t xml:space="preserve">Différenciateur (ESG).</t>
  </si>
  <si>
    <t xml:space="preserve">Alerte « tap-in manqué » + cross-check télématique</t>
  </si>
  <si>
    <t xml:space="preserve">Live (« van moved » distingue absent / oubli de pointage)</t>
  </si>
  <si>
    <t xml:space="preserve">Geofencing / auto tap-in à l'arrivée</t>
  </si>
  <si>
    <t xml:space="preserve">Gap — tap-in manuel (§14)</t>
  </si>
  <si>
    <t xml:space="preserve">Vérifier si Arantico auto-détecte l'arrivée.</t>
  </si>
  <si>
    <t xml:space="preserve">Dispatch (bureau→terrain)</t>
  </si>
  <si>
    <t xml:space="preserve">Optimiseur de dispatch IA (frontière de Pareto)</t>
  </si>
  <si>
    <t xml:space="preserve">Live — POST /optimisation/dispatch</t>
  </si>
  <si>
    <t xml:space="preserve">Différenciateur MAJEUR. Arantico = drag-drop manuel.</t>
  </si>
  <si>
    <t xml:space="preserve">Conformité terrain</t>
  </si>
  <si>
    <t xml:space="preserve">RAMS review + signature sur l'appareil (bloque le démarrage)</t>
  </si>
  <si>
    <t xml:space="preserve">Live + rédacteur RAMS IA</t>
  </si>
  <si>
    <t xml:space="preserve">Différenciateur (Arantico = checklists génériques, pas RAMS gaté).</t>
  </si>
  <si>
    <t xml:space="preserve">Différenciateurs Jobs Tracker vs Arantico (terrain/mobile)</t>
  </si>
  <si>
    <t xml:space="preserve">À défendre en vente — vérifier chaque point contre le concurrent avant de l'affirmer.</t>
  </si>
  <si>
    <t xml:space="preserve">Différenciateur</t>
  </si>
  <si>
    <t xml:space="preserve">Pourquoi ça compte</t>
  </si>
  <si>
    <t xml:space="preserve">Optimiseur de dispatch IA (Pareto)</t>
  </si>
  <si>
    <t xml:space="preserve">Planification optimisée vs drag-drop manuel chez Arantico. Gain productivité + argument de démo.</t>
  </si>
  <si>
    <t xml:space="preserve">Feuilles de temps géo-vérifiées + grading GPS</t>
  </si>
  <si>
    <t xml:space="preserve">Heures défendables (vrai fix GNSS vs estimation IP). Réduit litiges paie et facturation.</t>
  </si>
  <si>
    <t xml:space="preserve">Reconstruction de trajet + CO₂ (job/van/mois/an)</t>
  </si>
  <si>
    <t xml:space="preserve">Reporting carbone natif, y compris Scope 3 par client — rare, décisif sur appels d'offres.</t>
  </si>
  <si>
    <t xml:space="preserve">RAMS gaté + rédacteur RAMS IA</t>
  </si>
  <si>
    <t xml:space="preserve">Impossible de démarrer sans RAMS signé ; brouillon RAMS généré depuis le job. Arantico = checklists génériques.</t>
  </si>
  <si>
    <t xml:space="preserve">Alerte tap-in manqué + cross-check télématique</t>
  </si>
  <si>
    <t xml:space="preserve">Distingue « pas sur site » de « sur site, oubli de pointage ». Supervision terrain fine.</t>
  </si>
  <si>
    <t xml:space="preserve">Discipline imposée côté serveur (day gate, off-day RO)</t>
  </si>
  <si>
    <t xml:space="preserve">Règles appliquées dans l'API, pas seulement masquées dans l'UI — plus difficile à contourner.</t>
  </si>
  <si>
    <t xml:space="preserve">Messagerie temps réel technicien↔bureau (SignalR)</t>
  </si>
  <si>
    <t xml:space="preserve">Coordination live vs simples notes. À confirmer côté Arantico.</t>
  </si>
  <si>
    <t xml:space="preserve">White-label profond porté jusque dans le mobile</t>
  </si>
  <si>
    <t xml:space="preserve">Couleurs/logo/typo/landing par tenant, jusqu'à l'app — fort pour revendeurs / multi-marques.</t>
  </si>
  <si>
    <t xml:space="preserve">PWA installable + shell offline (web)</t>
  </si>
  <si>
    <t xml:space="preserve">Déploiement sans store côté web. À confirmer côté Arantico.</t>
  </si>
  <si>
    <t xml:space="preserve">Build priorisé — gaps THEM-ONLY à combler</t>
  </si>
  <si>
    <t xml:space="preserve">Gap à construire</t>
  </si>
  <si>
    <t xml:space="preserve">Pourquoi / dépendances</t>
  </si>
  <si>
    <t xml:space="preserve">Formulaires / checklists terrain configurables (cases + listes)</t>
  </si>
  <si>
    <t xml:space="preserve">Gap terrain n°1. Attendu par la plupart des clients maintenance/conformité. Base des relevés PPM.</t>
  </si>
  <si>
    <t xml:space="preserve">Registre d'assets (marque/modèle, rattaché aux jobs)</t>
  </si>
  <si>
    <t xml:space="preserve">Débloque détails asset sur mobile, historique par asset ET la maintenance préventive (PPM) — gros levier commercial.</t>
  </si>
  <si>
    <t xml:space="preserve">Vérifier l'offline-first d'Arantico, puis écritures offline natif</t>
  </si>
  <si>
    <t xml:space="preserve">Si Arantico fait de l'offline réel, c'est notre plus gros gap (§14 #1). Sinon, non prioritaire. VÉRIFIER D'ABORD.</t>
  </si>
  <si>
    <t xml:space="preserve">État « Pièces requises » bloquant + notif bureau (PartsReq)</t>
  </si>
  <si>
    <t xml:space="preserve">Formalise le cas « pièce manquante » : met le job en attente et alerte le bureau.</t>
  </si>
  <si>
    <t xml:space="preserve">Accusé Accept / Reject du job par le technicien</t>
  </si>
  <si>
    <t xml:space="preserve">Traçabilité de prise en charge terrain ; aligne sur les statuts Accepted/Rejected d'Arantico.</t>
  </si>
  <si>
    <t xml:space="preserve">Dépend du registre d'asset. Utile pour les techniciens en intervention récurrente.</t>
  </si>
  <si>
    <t xml:space="preserve">Publier l'app native en App Store / Play Store</t>
  </si>
  <si>
    <t xml:space="preserve">Gap purement temporaire : le natif est prêt (Built), il manque la publication.</t>
  </si>
  <si>
    <t xml:space="preserve">Job réactif créable depuis le terrain</t>
  </si>
  <si>
    <t xml:space="preserve">Le technicien loggue une nouvelle intervention sur place.</t>
  </si>
  <si>
    <t xml:space="preserve">Prompt photo de clôture au tap-out</t>
  </si>
  <si>
    <t xml:space="preserve">Symétrie avec la photo d'arrivée (§14 #14).</t>
  </si>
  <si>
    <t xml:space="preserve">Geofencing / auto tap-in</t>
  </si>
  <si>
    <t xml:space="preserve">Confort ; vérifier si Arantico le fait avant d'investir.</t>
  </si>
  <si>
    <t xml:space="preserve">Synthèse (comptage automatique de la matrice)</t>
  </si>
  <si>
    <t xml:space="preserve">Lignes THEM-ONLY (à construire)</t>
  </si>
  <si>
    <t xml:space="preserve">Lignes US-ONLY (différenciateurs)</t>
  </si>
  <si>
    <t xml:space="preserve">Lignes BOTH (parité)</t>
  </si>
  <si>
    <t xml:space="preserve">Lignes À VÉRIFIER</t>
  </si>
  <si>
    <t xml:space="preserve">Gaps priorité P1</t>
  </si>
  <si>
    <t xml:space="preserve">Gaps priorité P2</t>
  </si>
  <si>
    <t xml:space="preserve">Gaps priorité P3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</si>
</sst>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B5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E7E6E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E7E6E6"/>
      </patternFill>
    </fill>
    <fill>
      <patternFill patternType="solid">
        <fgColor rgb="FFFF7C80"/>
        <bgColor rgb="FFFF99CC"/>
      </patternFill>
    </fill>
    <fill>
      <patternFill patternType="solid">
        <fgColor rgb="FFC6E0B4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B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23.85" hidden="false" customHeight="false" outlineLevel="0" collapsed="false">
      <c r="C7" s="4" t="s">
        <v>4</v>
      </c>
    </row>
    <row r="9" customFormat="false" ht="15" hidden="false" customHeight="false" outlineLevel="0" collapsed="false">
      <c r="B9" s="3" t="s">
        <v>5</v>
      </c>
    </row>
    <row r="10" customFormat="false" ht="35.05" hidden="false" customHeight="false" outlineLevel="0" collapsed="false">
      <c r="C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35.05" hidden="false" customHeight="false" outlineLevel="0" collapsed="false">
      <c r="C13" s="4" t="s">
        <v>8</v>
      </c>
    </row>
    <row r="14" customFormat="false" ht="23.85" hidden="false" customHeight="false" outlineLevel="0" collapsed="false">
      <c r="C14" s="4" t="s">
        <v>9</v>
      </c>
    </row>
    <row r="15" customFormat="false" ht="15" hidden="false" customHeight="false" outlineLevel="0" collapsed="false">
      <c r="C15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C18" s="4" t="s">
        <v>12</v>
      </c>
    </row>
    <row r="19" customFormat="false" ht="15" hidden="false" customHeight="false" outlineLevel="0" collapsed="false">
      <c r="C19" s="4" t="s">
        <v>13</v>
      </c>
    </row>
    <row r="20" customFormat="false" ht="15" hidden="false" customHeight="false" outlineLevel="0" collapsed="false">
      <c r="C20" s="4" t="s">
        <v>14</v>
      </c>
    </row>
    <row r="21" customFormat="false" ht="15" hidden="false" customHeight="false" outlineLevel="0" collapsed="false">
      <c r="C21" s="4" t="s">
        <v>15</v>
      </c>
    </row>
    <row r="23" customFormat="false" ht="15" hidden="false" customHeight="false" outlineLevel="0" collapsed="false">
      <c r="B23" s="3" t="s">
        <v>16</v>
      </c>
    </row>
    <row r="24" customFormat="false" ht="23.85" hidden="false" customHeight="false" outlineLevel="0" collapsed="false">
      <c r="C24" s="4" t="s">
        <v>17</v>
      </c>
    </row>
    <row r="26" customFormat="false" ht="15" hidden="false" customHeight="false" outlineLevel="0" collapsed="false">
      <c r="B26" s="3" t="s">
        <v>18</v>
      </c>
    </row>
    <row r="27" customFormat="false" ht="15" hidden="false" customHeight="false" outlineLevel="0" collapsed="false">
      <c r="C27" s="4" t="s">
        <v>19</v>
      </c>
    </row>
    <row r="28" customFormat="false" ht="15" hidden="false" customHeight="false" outlineLevel="0" collapsed="false">
      <c r="C28" s="4" t="s">
        <v>20</v>
      </c>
    </row>
    <row r="29" customFormat="false" ht="15" hidden="false" customHeight="false" outlineLevel="0" collapsed="false">
      <c r="C29" s="4" t="s">
        <v>21</v>
      </c>
    </row>
    <row r="31" customFormat="false" ht="15" hidden="false" customHeight="false" outlineLevel="0" collapsed="false">
      <c r="B31" s="3" t="s">
        <v>22</v>
      </c>
    </row>
    <row r="32" customFormat="false" ht="23.85" hidden="false" customHeight="false" outlineLevel="0" collapsed="false">
      <c r="C32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52"/>
  </cols>
  <sheetData>
    <row r="1" customFormat="false" ht="18.55" hidden="false" customHeight="false" outlineLevel="0" collapsed="false">
      <c r="A1" s="1" t="s">
        <v>24</v>
      </c>
    </row>
    <row r="2" customFormat="false" ht="26.85" hidden="false" customHeight="false" outlineLevel="0" collapsed="false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</row>
    <row r="3" customFormat="false" ht="23.85" hidden="false" customHeight="false" outlineLevel="0" collapsed="false">
      <c r="A3" s="6" t="n">
        <v>1</v>
      </c>
      <c r="B3" s="7" t="s">
        <v>35</v>
      </c>
      <c r="C3" s="8" t="s">
        <v>36</v>
      </c>
      <c r="D3" s="6" t="s">
        <v>37</v>
      </c>
      <c r="E3" s="6" t="s">
        <v>38</v>
      </c>
      <c r="F3" s="7" t="s">
        <v>39</v>
      </c>
      <c r="G3" s="6" t="s">
        <v>40</v>
      </c>
      <c r="H3" s="9" t="s">
        <v>41</v>
      </c>
      <c r="I3" s="6"/>
      <c r="J3" s="7" t="s">
        <v>42</v>
      </c>
    </row>
    <row r="4" customFormat="false" ht="23.85" hidden="false" customHeight="false" outlineLevel="0" collapsed="false">
      <c r="A4" s="6" t="n">
        <v>2</v>
      </c>
      <c r="B4" s="7" t="s">
        <v>35</v>
      </c>
      <c r="C4" s="8" t="s">
        <v>43</v>
      </c>
      <c r="D4" s="6" t="s">
        <v>37</v>
      </c>
      <c r="E4" s="6" t="s">
        <v>38</v>
      </c>
      <c r="F4" s="7" t="s">
        <v>44</v>
      </c>
      <c r="G4" s="6" t="s">
        <v>45</v>
      </c>
      <c r="H4" s="10" t="s">
        <v>46</v>
      </c>
      <c r="I4" s="11" t="s">
        <v>47</v>
      </c>
      <c r="J4" s="7" t="s">
        <v>48</v>
      </c>
    </row>
    <row r="5" customFormat="false" ht="23.85" hidden="false" customHeight="false" outlineLevel="0" collapsed="false">
      <c r="A5" s="6" t="n">
        <v>3</v>
      </c>
      <c r="B5" s="7" t="s">
        <v>35</v>
      </c>
      <c r="C5" s="8" t="s">
        <v>49</v>
      </c>
      <c r="D5" s="6" t="s">
        <v>37</v>
      </c>
      <c r="E5" s="6" t="s">
        <v>38</v>
      </c>
      <c r="F5" s="7" t="s">
        <v>50</v>
      </c>
      <c r="G5" s="6" t="s">
        <v>40</v>
      </c>
      <c r="H5" s="9" t="s">
        <v>41</v>
      </c>
      <c r="I5" s="6"/>
      <c r="J5" s="7" t="s">
        <v>51</v>
      </c>
    </row>
    <row r="6" customFormat="false" ht="23.85" hidden="false" customHeight="false" outlineLevel="0" collapsed="false">
      <c r="A6" s="6" t="n">
        <v>4</v>
      </c>
      <c r="B6" s="7" t="s">
        <v>35</v>
      </c>
      <c r="C6" s="8" t="s">
        <v>52</v>
      </c>
      <c r="D6" s="6" t="s">
        <v>37</v>
      </c>
      <c r="E6" s="6" t="s">
        <v>38</v>
      </c>
      <c r="F6" s="7" t="s">
        <v>53</v>
      </c>
      <c r="G6" s="6" t="s">
        <v>40</v>
      </c>
      <c r="H6" s="9" t="s">
        <v>41</v>
      </c>
      <c r="I6" s="6"/>
      <c r="J6" s="7" t="s">
        <v>54</v>
      </c>
    </row>
    <row r="7" customFormat="false" ht="15" hidden="false" customHeight="false" outlineLevel="0" collapsed="false">
      <c r="A7" s="6" t="n">
        <v>5</v>
      </c>
      <c r="B7" s="7" t="s">
        <v>35</v>
      </c>
      <c r="C7" s="8" t="s">
        <v>55</v>
      </c>
      <c r="D7" s="6" t="s">
        <v>37</v>
      </c>
      <c r="E7" s="6" t="s">
        <v>38</v>
      </c>
      <c r="F7" s="7" t="s">
        <v>56</v>
      </c>
      <c r="G7" s="6" t="s">
        <v>40</v>
      </c>
      <c r="H7" s="9" t="s">
        <v>41</v>
      </c>
      <c r="I7" s="6"/>
      <c r="J7" s="7" t="s">
        <v>57</v>
      </c>
    </row>
    <row r="8" customFormat="false" ht="23.85" hidden="false" customHeight="false" outlineLevel="0" collapsed="false">
      <c r="A8" s="6" t="n">
        <v>6</v>
      </c>
      <c r="B8" s="7" t="s">
        <v>35</v>
      </c>
      <c r="C8" s="8" t="s">
        <v>58</v>
      </c>
      <c r="D8" s="6" t="s">
        <v>59</v>
      </c>
      <c r="E8" s="6" t="s">
        <v>59</v>
      </c>
      <c r="F8" s="7" t="s">
        <v>60</v>
      </c>
      <c r="G8" s="6" t="s">
        <v>32</v>
      </c>
      <c r="H8" s="12" t="s">
        <v>61</v>
      </c>
      <c r="I8" s="13" t="s">
        <v>62</v>
      </c>
      <c r="J8" s="7" t="s">
        <v>63</v>
      </c>
    </row>
    <row r="9" customFormat="false" ht="23.85" hidden="false" customHeight="false" outlineLevel="0" collapsed="false">
      <c r="A9" s="6" t="n">
        <v>7</v>
      </c>
      <c r="B9" s="7" t="s">
        <v>35</v>
      </c>
      <c r="C9" s="8" t="s">
        <v>64</v>
      </c>
      <c r="D9" s="6" t="s">
        <v>37</v>
      </c>
      <c r="E9" s="6" t="s">
        <v>38</v>
      </c>
      <c r="F9" s="7" t="s">
        <v>65</v>
      </c>
      <c r="G9" s="6" t="s">
        <v>40</v>
      </c>
      <c r="H9" s="9" t="s">
        <v>41</v>
      </c>
      <c r="I9" s="6"/>
      <c r="J9" s="7" t="s">
        <v>66</v>
      </c>
    </row>
    <row r="10" customFormat="false" ht="15" hidden="false" customHeight="false" outlineLevel="0" collapsed="false">
      <c r="A10" s="6" t="n">
        <v>8</v>
      </c>
      <c r="B10" s="7" t="s">
        <v>35</v>
      </c>
      <c r="C10" s="8" t="s">
        <v>67</v>
      </c>
      <c r="D10" s="6" t="s">
        <v>37</v>
      </c>
      <c r="E10" s="6" t="s">
        <v>68</v>
      </c>
      <c r="F10" s="7" t="s">
        <v>69</v>
      </c>
      <c r="G10" s="6" t="s">
        <v>40</v>
      </c>
      <c r="H10" s="9" t="s">
        <v>41</v>
      </c>
      <c r="I10" s="6"/>
      <c r="J10" s="7" t="s">
        <v>57</v>
      </c>
    </row>
    <row r="11" customFormat="false" ht="23.85" hidden="false" customHeight="false" outlineLevel="0" collapsed="false">
      <c r="A11" s="6" t="n">
        <v>9</v>
      </c>
      <c r="B11" s="7" t="s">
        <v>35</v>
      </c>
      <c r="C11" s="8" t="s">
        <v>70</v>
      </c>
      <c r="D11" s="6" t="s">
        <v>37</v>
      </c>
      <c r="E11" s="6" t="s">
        <v>38</v>
      </c>
      <c r="F11" s="7" t="s">
        <v>71</v>
      </c>
      <c r="G11" s="6" t="s">
        <v>45</v>
      </c>
      <c r="H11" s="10" t="s">
        <v>46</v>
      </c>
      <c r="I11" s="11" t="s">
        <v>47</v>
      </c>
      <c r="J11" s="7" t="s">
        <v>72</v>
      </c>
    </row>
    <row r="12" customFormat="false" ht="23.85" hidden="false" customHeight="false" outlineLevel="0" collapsed="false">
      <c r="A12" s="6" t="n">
        <v>10</v>
      </c>
      <c r="B12" s="7" t="s">
        <v>35</v>
      </c>
      <c r="C12" s="8" t="s">
        <v>73</v>
      </c>
      <c r="D12" s="6" t="s">
        <v>37</v>
      </c>
      <c r="E12" s="6" t="s">
        <v>38</v>
      </c>
      <c r="F12" s="7" t="s">
        <v>74</v>
      </c>
      <c r="G12" s="6" t="s">
        <v>45</v>
      </c>
      <c r="H12" s="9" t="s">
        <v>41</v>
      </c>
      <c r="I12" s="6"/>
      <c r="J12" s="7" t="s">
        <v>75</v>
      </c>
    </row>
    <row r="13" customFormat="false" ht="23.85" hidden="false" customHeight="false" outlineLevel="0" collapsed="false">
      <c r="A13" s="6" t="n">
        <v>11</v>
      </c>
      <c r="B13" s="7" t="s">
        <v>76</v>
      </c>
      <c r="C13" s="8" t="s">
        <v>77</v>
      </c>
      <c r="D13" s="6" t="s">
        <v>37</v>
      </c>
      <c r="E13" s="6" t="s">
        <v>68</v>
      </c>
      <c r="F13" s="7" t="s">
        <v>78</v>
      </c>
      <c r="G13" s="6" t="s">
        <v>32</v>
      </c>
      <c r="H13" s="10" t="s">
        <v>46</v>
      </c>
      <c r="I13" s="14" t="s">
        <v>79</v>
      </c>
      <c r="J13" s="7" t="s">
        <v>80</v>
      </c>
    </row>
    <row r="14" customFormat="false" ht="15" hidden="false" customHeight="false" outlineLevel="0" collapsed="false">
      <c r="A14" s="6" t="n">
        <v>12</v>
      </c>
      <c r="B14" s="7" t="s">
        <v>76</v>
      </c>
      <c r="C14" s="8" t="s">
        <v>81</v>
      </c>
      <c r="D14" s="6" t="s">
        <v>37</v>
      </c>
      <c r="E14" s="6" t="s">
        <v>68</v>
      </c>
      <c r="F14" s="7" t="s">
        <v>82</v>
      </c>
      <c r="G14" s="6" t="s">
        <v>40</v>
      </c>
      <c r="H14" s="9" t="s">
        <v>41</v>
      </c>
      <c r="I14" s="6"/>
      <c r="J14" s="7" t="s">
        <v>83</v>
      </c>
    </row>
    <row r="15" customFormat="false" ht="15" hidden="false" customHeight="false" outlineLevel="0" collapsed="false">
      <c r="A15" s="6" t="n">
        <v>13</v>
      </c>
      <c r="B15" s="7" t="s">
        <v>76</v>
      </c>
      <c r="C15" s="8" t="s">
        <v>84</v>
      </c>
      <c r="D15" s="6" t="s">
        <v>37</v>
      </c>
      <c r="E15" s="6" t="s">
        <v>68</v>
      </c>
      <c r="F15" s="7" t="s">
        <v>85</v>
      </c>
      <c r="G15" s="6" t="s">
        <v>40</v>
      </c>
      <c r="H15" s="9" t="s">
        <v>41</v>
      </c>
      <c r="I15" s="6"/>
      <c r="J15" s="7" t="s">
        <v>86</v>
      </c>
    </row>
    <row r="16" customFormat="false" ht="23.85" hidden="false" customHeight="false" outlineLevel="0" collapsed="false">
      <c r="A16" s="6" t="n">
        <v>14</v>
      </c>
      <c r="B16" s="7" t="s">
        <v>76</v>
      </c>
      <c r="C16" s="8" t="s">
        <v>87</v>
      </c>
      <c r="D16" s="6" t="s">
        <v>37</v>
      </c>
      <c r="E16" s="6" t="s">
        <v>68</v>
      </c>
      <c r="F16" s="7" t="s">
        <v>88</v>
      </c>
      <c r="G16" s="6" t="s">
        <v>40</v>
      </c>
      <c r="H16" s="9" t="s">
        <v>41</v>
      </c>
      <c r="I16" s="6"/>
      <c r="J16" s="7" t="s">
        <v>89</v>
      </c>
    </row>
    <row r="17" customFormat="false" ht="15" hidden="false" customHeight="false" outlineLevel="0" collapsed="false">
      <c r="A17" s="6" t="n">
        <v>15</v>
      </c>
      <c r="B17" s="7" t="s">
        <v>76</v>
      </c>
      <c r="C17" s="8" t="s">
        <v>90</v>
      </c>
      <c r="D17" s="6" t="s">
        <v>37</v>
      </c>
      <c r="E17" s="6" t="s">
        <v>68</v>
      </c>
      <c r="F17" s="7" t="s">
        <v>91</v>
      </c>
      <c r="G17" s="6" t="s">
        <v>40</v>
      </c>
      <c r="H17" s="9" t="s">
        <v>41</v>
      </c>
      <c r="I17" s="6"/>
      <c r="J17" s="7" t="s">
        <v>57</v>
      </c>
    </row>
    <row r="18" customFormat="false" ht="23.85" hidden="false" customHeight="false" outlineLevel="0" collapsed="false">
      <c r="A18" s="6" t="n">
        <v>16</v>
      </c>
      <c r="B18" s="7" t="s">
        <v>76</v>
      </c>
      <c r="C18" s="8" t="s">
        <v>92</v>
      </c>
      <c r="D18" s="6" t="s">
        <v>37</v>
      </c>
      <c r="E18" s="6" t="s">
        <v>68</v>
      </c>
      <c r="F18" s="7" t="s">
        <v>93</v>
      </c>
      <c r="G18" s="6" t="s">
        <v>32</v>
      </c>
      <c r="H18" s="10" t="s">
        <v>46</v>
      </c>
      <c r="I18" s="14" t="s">
        <v>79</v>
      </c>
      <c r="J18" s="7" t="s">
        <v>94</v>
      </c>
    </row>
    <row r="19" customFormat="false" ht="23.85" hidden="false" customHeight="false" outlineLevel="0" collapsed="false">
      <c r="A19" s="6" t="n">
        <v>17</v>
      </c>
      <c r="B19" s="7" t="s">
        <v>76</v>
      </c>
      <c r="C19" s="8" t="s">
        <v>95</v>
      </c>
      <c r="D19" s="6" t="s">
        <v>37</v>
      </c>
      <c r="E19" s="6" t="s">
        <v>68</v>
      </c>
      <c r="F19" s="7" t="s">
        <v>96</v>
      </c>
      <c r="G19" s="6" t="s">
        <v>45</v>
      </c>
      <c r="H19" s="10" t="s">
        <v>46</v>
      </c>
      <c r="I19" s="11" t="s">
        <v>47</v>
      </c>
      <c r="J19" s="7" t="s">
        <v>97</v>
      </c>
    </row>
    <row r="20" customFormat="false" ht="23.85" hidden="false" customHeight="false" outlineLevel="0" collapsed="false">
      <c r="A20" s="6" t="n">
        <v>18</v>
      </c>
      <c r="B20" s="7" t="s">
        <v>76</v>
      </c>
      <c r="C20" s="8" t="s">
        <v>98</v>
      </c>
      <c r="D20" s="6" t="s">
        <v>37</v>
      </c>
      <c r="E20" s="6" t="s">
        <v>68</v>
      </c>
      <c r="F20" s="7" t="s">
        <v>99</v>
      </c>
      <c r="G20" s="6" t="s">
        <v>45</v>
      </c>
      <c r="H20" s="10" t="s">
        <v>46</v>
      </c>
      <c r="I20" s="13" t="s">
        <v>62</v>
      </c>
      <c r="J20" s="7" t="s">
        <v>100</v>
      </c>
    </row>
    <row r="21" customFormat="false" ht="23.85" hidden="false" customHeight="false" outlineLevel="0" collapsed="false">
      <c r="A21" s="6" t="n">
        <v>19</v>
      </c>
      <c r="B21" s="7" t="s">
        <v>76</v>
      </c>
      <c r="C21" s="8" t="s">
        <v>101</v>
      </c>
      <c r="D21" s="6" t="s">
        <v>37</v>
      </c>
      <c r="E21" s="6" t="s">
        <v>68</v>
      </c>
      <c r="F21" s="7" t="s">
        <v>102</v>
      </c>
      <c r="G21" s="6" t="s">
        <v>40</v>
      </c>
      <c r="H21" s="9" t="s">
        <v>41</v>
      </c>
      <c r="I21" s="6"/>
      <c r="J21" s="7" t="s">
        <v>103</v>
      </c>
    </row>
    <row r="22" customFormat="false" ht="15" hidden="false" customHeight="false" outlineLevel="0" collapsed="false">
      <c r="A22" s="6" t="n">
        <v>20</v>
      </c>
      <c r="B22" s="7" t="s">
        <v>104</v>
      </c>
      <c r="C22" s="8" t="s">
        <v>105</v>
      </c>
      <c r="D22" s="6" t="s">
        <v>59</v>
      </c>
      <c r="E22" s="6" t="s">
        <v>59</v>
      </c>
      <c r="F22" s="7" t="s">
        <v>106</v>
      </c>
      <c r="G22" s="6" t="s">
        <v>40</v>
      </c>
      <c r="H22" s="15" t="s">
        <v>107</v>
      </c>
      <c r="I22" s="6"/>
      <c r="J22" s="7" t="s">
        <v>108</v>
      </c>
    </row>
    <row r="23" customFormat="false" ht="23.85" hidden="false" customHeight="false" outlineLevel="0" collapsed="false">
      <c r="A23" s="6" t="n">
        <v>21</v>
      </c>
      <c r="B23" s="7" t="s">
        <v>104</v>
      </c>
      <c r="C23" s="8" t="s">
        <v>109</v>
      </c>
      <c r="D23" s="6" t="s">
        <v>37</v>
      </c>
      <c r="E23" s="6" t="s">
        <v>68</v>
      </c>
      <c r="F23" s="7" t="s">
        <v>110</v>
      </c>
      <c r="G23" s="6" t="s">
        <v>111</v>
      </c>
      <c r="H23" s="10" t="s">
        <v>46</v>
      </c>
      <c r="I23" s="11" t="s">
        <v>47</v>
      </c>
      <c r="J23" s="7" t="s">
        <v>112</v>
      </c>
    </row>
    <row r="24" customFormat="false" ht="15" hidden="false" customHeight="false" outlineLevel="0" collapsed="false">
      <c r="A24" s="6" t="n">
        <v>22</v>
      </c>
      <c r="B24" s="7" t="s">
        <v>104</v>
      </c>
      <c r="C24" s="8" t="s">
        <v>113</v>
      </c>
      <c r="D24" s="6" t="s">
        <v>59</v>
      </c>
      <c r="E24" s="6" t="s">
        <v>59</v>
      </c>
      <c r="F24" s="7" t="s">
        <v>114</v>
      </c>
      <c r="G24" s="6" t="s">
        <v>40</v>
      </c>
      <c r="H24" s="15" t="s">
        <v>107</v>
      </c>
      <c r="I24" s="6"/>
      <c r="J24" s="7" t="s">
        <v>115</v>
      </c>
    </row>
    <row r="25" customFormat="false" ht="23.85" hidden="false" customHeight="false" outlineLevel="0" collapsed="false">
      <c r="A25" s="6" t="n">
        <v>23</v>
      </c>
      <c r="B25" s="7" t="s">
        <v>104</v>
      </c>
      <c r="C25" s="8" t="s">
        <v>116</v>
      </c>
      <c r="D25" s="6" t="s">
        <v>59</v>
      </c>
      <c r="E25" s="6" t="s">
        <v>59</v>
      </c>
      <c r="F25" s="7" t="s">
        <v>117</v>
      </c>
      <c r="G25" s="6" t="s">
        <v>32</v>
      </c>
      <c r="H25" s="12" t="s">
        <v>61</v>
      </c>
      <c r="I25" s="14" t="s">
        <v>79</v>
      </c>
      <c r="J25" s="7" t="s">
        <v>118</v>
      </c>
    </row>
    <row r="26" customFormat="false" ht="15" hidden="false" customHeight="false" outlineLevel="0" collapsed="false">
      <c r="A26" s="6" t="n">
        <v>24</v>
      </c>
      <c r="B26" s="7" t="s">
        <v>104</v>
      </c>
      <c r="C26" s="8" t="s">
        <v>119</v>
      </c>
      <c r="D26" s="6" t="s">
        <v>59</v>
      </c>
      <c r="E26" s="6" t="s">
        <v>59</v>
      </c>
      <c r="F26" s="7" t="s">
        <v>40</v>
      </c>
      <c r="G26" s="6" t="s">
        <v>40</v>
      </c>
      <c r="H26" s="12" t="s">
        <v>61</v>
      </c>
      <c r="I26" s="6"/>
      <c r="J26" s="7" t="s">
        <v>120</v>
      </c>
    </row>
    <row r="27" customFormat="false" ht="15" hidden="false" customHeight="false" outlineLevel="0" collapsed="false">
      <c r="A27" s="6" t="n">
        <v>25</v>
      </c>
      <c r="B27" s="7" t="s">
        <v>104</v>
      </c>
      <c r="C27" s="8" t="s">
        <v>121</v>
      </c>
      <c r="D27" s="6" t="s">
        <v>59</v>
      </c>
      <c r="E27" s="6" t="s">
        <v>59</v>
      </c>
      <c r="F27" s="7" t="s">
        <v>122</v>
      </c>
      <c r="G27" s="6" t="s">
        <v>111</v>
      </c>
      <c r="H27" s="12" t="s">
        <v>61</v>
      </c>
      <c r="I27" s="11" t="s">
        <v>47</v>
      </c>
      <c r="J27" s="7" t="s">
        <v>123</v>
      </c>
    </row>
    <row r="28" customFormat="false" ht="15" hidden="false" customHeight="false" outlineLevel="0" collapsed="false">
      <c r="A28" s="6" t="n">
        <v>26</v>
      </c>
      <c r="B28" s="7" t="s">
        <v>104</v>
      </c>
      <c r="C28" s="8" t="s">
        <v>124</v>
      </c>
      <c r="D28" s="6" t="s">
        <v>45</v>
      </c>
      <c r="E28" s="6" t="s">
        <v>68</v>
      </c>
      <c r="F28" s="7" t="s">
        <v>125</v>
      </c>
      <c r="G28" s="6" t="s">
        <v>40</v>
      </c>
      <c r="H28" s="15" t="s">
        <v>107</v>
      </c>
      <c r="I28" s="6"/>
      <c r="J28" s="7" t="s">
        <v>126</v>
      </c>
    </row>
    <row r="29" customFormat="false" ht="23.85" hidden="false" customHeight="false" outlineLevel="0" collapsed="false">
      <c r="A29" s="6" t="n">
        <v>27</v>
      </c>
      <c r="B29" s="7" t="s">
        <v>104</v>
      </c>
      <c r="C29" s="8" t="s">
        <v>127</v>
      </c>
      <c r="D29" s="6" t="s">
        <v>59</v>
      </c>
      <c r="E29" s="6" t="s">
        <v>59</v>
      </c>
      <c r="F29" s="7" t="s">
        <v>128</v>
      </c>
      <c r="G29" s="6" t="s">
        <v>40</v>
      </c>
      <c r="H29" s="15" t="s">
        <v>107</v>
      </c>
      <c r="I29" s="6"/>
      <c r="J29" s="7" t="s">
        <v>115</v>
      </c>
    </row>
    <row r="30" customFormat="false" ht="23.85" hidden="false" customHeight="false" outlineLevel="0" collapsed="false">
      <c r="A30" s="6" t="n">
        <v>28</v>
      </c>
      <c r="B30" s="7" t="s">
        <v>104</v>
      </c>
      <c r="C30" s="8" t="s">
        <v>129</v>
      </c>
      <c r="D30" s="6" t="s">
        <v>59</v>
      </c>
      <c r="E30" s="6" t="s">
        <v>59</v>
      </c>
      <c r="F30" s="7" t="s">
        <v>130</v>
      </c>
      <c r="G30" s="6" t="s">
        <v>40</v>
      </c>
      <c r="H30" s="15" t="s">
        <v>107</v>
      </c>
      <c r="I30" s="6"/>
      <c r="J30" s="7" t="s">
        <v>115</v>
      </c>
    </row>
    <row r="31" customFormat="false" ht="23.85" hidden="false" customHeight="false" outlineLevel="0" collapsed="false">
      <c r="A31" s="6" t="n">
        <v>29</v>
      </c>
      <c r="B31" s="7" t="s">
        <v>131</v>
      </c>
      <c r="C31" s="8" t="s">
        <v>132</v>
      </c>
      <c r="D31" s="6" t="s">
        <v>133</v>
      </c>
      <c r="E31" s="6" t="s">
        <v>38</v>
      </c>
      <c r="F31" s="7" t="s">
        <v>40</v>
      </c>
      <c r="G31" s="6" t="s">
        <v>40</v>
      </c>
      <c r="H31" s="15" t="s">
        <v>107</v>
      </c>
      <c r="I31" s="6"/>
      <c r="J31" s="7" t="s">
        <v>134</v>
      </c>
    </row>
    <row r="32" customFormat="false" ht="23.85" hidden="false" customHeight="false" outlineLevel="0" collapsed="false">
      <c r="A32" s="6" t="n">
        <v>30</v>
      </c>
      <c r="B32" s="7" t="s">
        <v>131</v>
      </c>
      <c r="C32" s="8" t="s">
        <v>135</v>
      </c>
      <c r="D32" s="6" t="s">
        <v>133</v>
      </c>
      <c r="E32" s="6" t="s">
        <v>38</v>
      </c>
      <c r="F32" s="7" t="s">
        <v>136</v>
      </c>
      <c r="G32" s="6" t="s">
        <v>40</v>
      </c>
      <c r="H32" s="15" t="s">
        <v>107</v>
      </c>
      <c r="I32" s="6"/>
      <c r="J32" s="7" t="s">
        <v>137</v>
      </c>
    </row>
    <row r="33" customFormat="false" ht="23.85" hidden="false" customHeight="false" outlineLevel="0" collapsed="false">
      <c r="A33" s="6" t="n">
        <v>31</v>
      </c>
      <c r="B33" s="7" t="s">
        <v>131</v>
      </c>
      <c r="C33" s="8" t="s">
        <v>138</v>
      </c>
      <c r="D33" s="6" t="s">
        <v>133</v>
      </c>
      <c r="E33" s="6" t="s">
        <v>38</v>
      </c>
      <c r="F33" s="7" t="s">
        <v>40</v>
      </c>
      <c r="G33" s="6" t="s">
        <v>40</v>
      </c>
      <c r="H33" s="15" t="s">
        <v>107</v>
      </c>
      <c r="I33" s="6"/>
      <c r="J33" s="7" t="s">
        <v>139</v>
      </c>
    </row>
    <row r="34" customFormat="false" ht="23.85" hidden="false" customHeight="false" outlineLevel="0" collapsed="false">
      <c r="A34" s="6" t="n">
        <v>32</v>
      </c>
      <c r="B34" s="7" t="s">
        <v>131</v>
      </c>
      <c r="C34" s="8" t="s">
        <v>140</v>
      </c>
      <c r="D34" s="6" t="s">
        <v>133</v>
      </c>
      <c r="E34" s="6" t="s">
        <v>38</v>
      </c>
      <c r="F34" s="7" t="s">
        <v>141</v>
      </c>
      <c r="G34" s="6" t="s">
        <v>40</v>
      </c>
      <c r="H34" s="15" t="s">
        <v>107</v>
      </c>
      <c r="I34" s="6"/>
      <c r="J34" s="7" t="s">
        <v>134</v>
      </c>
    </row>
    <row r="35" customFormat="false" ht="23.85" hidden="false" customHeight="false" outlineLevel="0" collapsed="false">
      <c r="A35" s="6" t="n">
        <v>33</v>
      </c>
      <c r="B35" s="7" t="s">
        <v>131</v>
      </c>
      <c r="C35" s="8" t="s">
        <v>142</v>
      </c>
      <c r="D35" s="6" t="s">
        <v>59</v>
      </c>
      <c r="E35" s="6" t="s">
        <v>59</v>
      </c>
      <c r="F35" s="7" t="s">
        <v>143</v>
      </c>
      <c r="G35" s="6" t="s">
        <v>32</v>
      </c>
      <c r="H35" s="12" t="s">
        <v>61</v>
      </c>
      <c r="I35" s="13" t="s">
        <v>62</v>
      </c>
      <c r="J35" s="7" t="s">
        <v>144</v>
      </c>
    </row>
    <row r="36" customFormat="false" ht="23.85" hidden="false" customHeight="false" outlineLevel="0" collapsed="false">
      <c r="A36" s="6" t="n">
        <v>34</v>
      </c>
      <c r="B36" s="7" t="s">
        <v>145</v>
      </c>
      <c r="C36" s="8" t="s">
        <v>146</v>
      </c>
      <c r="D36" s="6" t="s">
        <v>133</v>
      </c>
      <c r="E36" s="6" t="s">
        <v>38</v>
      </c>
      <c r="F36" s="7" t="s">
        <v>147</v>
      </c>
      <c r="G36" s="6" t="s">
        <v>40</v>
      </c>
      <c r="H36" s="15" t="s">
        <v>107</v>
      </c>
      <c r="I36" s="6"/>
      <c r="J36" s="7" t="s">
        <v>148</v>
      </c>
    </row>
    <row r="37" customFormat="false" ht="23.85" hidden="false" customHeight="false" outlineLevel="0" collapsed="false">
      <c r="A37" s="6" t="n">
        <v>35</v>
      </c>
      <c r="B37" s="7" t="s">
        <v>149</v>
      </c>
      <c r="C37" s="8" t="s">
        <v>150</v>
      </c>
      <c r="D37" s="6" t="s">
        <v>133</v>
      </c>
      <c r="E37" s="6" t="s">
        <v>38</v>
      </c>
      <c r="F37" s="7" t="s">
        <v>151</v>
      </c>
      <c r="G37" s="6" t="s">
        <v>40</v>
      </c>
      <c r="H37" s="15" t="s">
        <v>107</v>
      </c>
      <c r="I37" s="6"/>
      <c r="J37" s="7" t="s">
        <v>152</v>
      </c>
    </row>
  </sheetData>
  <autoFilter ref="A2:J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60"/>
  </cols>
  <sheetData>
    <row r="1" customFormat="false" ht="18.5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3" customFormat="false" ht="15" hidden="false" customHeight="false" outlineLevel="0" collapsed="false">
      <c r="A3" s="5" t="s">
        <v>25</v>
      </c>
      <c r="B3" s="5" t="s">
        <v>155</v>
      </c>
      <c r="C3" s="5" t="s">
        <v>156</v>
      </c>
    </row>
    <row r="4" customFormat="false" ht="23.85" hidden="false" customHeight="false" outlineLevel="0" collapsed="false">
      <c r="A4" s="6" t="n">
        <v>1</v>
      </c>
      <c r="B4" s="16" t="s">
        <v>157</v>
      </c>
      <c r="C4" s="7" t="s">
        <v>158</v>
      </c>
    </row>
    <row r="5" customFormat="false" ht="23.85" hidden="false" customHeight="false" outlineLevel="0" collapsed="false">
      <c r="A5" s="6" t="n">
        <v>2</v>
      </c>
      <c r="B5" s="16" t="s">
        <v>159</v>
      </c>
      <c r="C5" s="7" t="s">
        <v>160</v>
      </c>
    </row>
    <row r="6" customFormat="false" ht="23.85" hidden="false" customHeight="false" outlineLevel="0" collapsed="false">
      <c r="A6" s="6" t="n">
        <v>3</v>
      </c>
      <c r="B6" s="16" t="s">
        <v>161</v>
      </c>
      <c r="C6" s="7" t="s">
        <v>162</v>
      </c>
    </row>
    <row r="7" customFormat="false" ht="23.85" hidden="false" customHeight="false" outlineLevel="0" collapsed="false">
      <c r="A7" s="6" t="n">
        <v>4</v>
      </c>
      <c r="B7" s="16" t="s">
        <v>163</v>
      </c>
      <c r="C7" s="7" t="s">
        <v>164</v>
      </c>
    </row>
    <row r="8" customFormat="false" ht="23.85" hidden="false" customHeight="false" outlineLevel="0" collapsed="false">
      <c r="A8" s="6" t="n">
        <v>5</v>
      </c>
      <c r="B8" s="16" t="s">
        <v>165</v>
      </c>
      <c r="C8" s="7" t="s">
        <v>166</v>
      </c>
    </row>
    <row r="9" customFormat="false" ht="23.85" hidden="false" customHeight="false" outlineLevel="0" collapsed="false">
      <c r="A9" s="6" t="n">
        <v>6</v>
      </c>
      <c r="B9" s="16" t="s">
        <v>167</v>
      </c>
      <c r="C9" s="7" t="s">
        <v>168</v>
      </c>
    </row>
    <row r="10" customFormat="false" ht="15" hidden="false" customHeight="false" outlineLevel="0" collapsed="false">
      <c r="A10" s="6" t="n">
        <v>7</v>
      </c>
      <c r="B10" s="16" t="s">
        <v>169</v>
      </c>
      <c r="C10" s="7" t="s">
        <v>170</v>
      </c>
    </row>
    <row r="11" customFormat="false" ht="23.85" hidden="false" customHeight="false" outlineLevel="0" collapsed="false">
      <c r="A11" s="6" t="n">
        <v>8</v>
      </c>
      <c r="B11" s="16" t="s">
        <v>171</v>
      </c>
      <c r="C11" s="7" t="s">
        <v>172</v>
      </c>
    </row>
    <row r="12" customFormat="false" ht="15" hidden="false" customHeight="false" outlineLevel="0" collapsed="false">
      <c r="A12" s="6" t="n">
        <v>9</v>
      </c>
      <c r="B12" s="16" t="s">
        <v>173</v>
      </c>
      <c r="C12" s="7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8.5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5" t="s">
        <v>25</v>
      </c>
      <c r="B2" s="5" t="s">
        <v>176</v>
      </c>
      <c r="C2" s="5" t="s">
        <v>33</v>
      </c>
      <c r="D2" s="5" t="s">
        <v>177</v>
      </c>
    </row>
    <row r="3" customFormat="false" ht="23.85" hidden="false" customHeight="false" outlineLevel="0" collapsed="false">
      <c r="A3" s="6" t="n">
        <v>1</v>
      </c>
      <c r="B3" s="8" t="s">
        <v>178</v>
      </c>
      <c r="C3" s="14" t="s">
        <v>79</v>
      </c>
      <c r="D3" s="7" t="s">
        <v>179</v>
      </c>
    </row>
    <row r="4" customFormat="false" ht="23.85" hidden="false" customHeight="false" outlineLevel="0" collapsed="false">
      <c r="A4" s="6" t="n">
        <v>2</v>
      </c>
      <c r="B4" s="8" t="s">
        <v>180</v>
      </c>
      <c r="C4" s="14" t="s">
        <v>79</v>
      </c>
      <c r="D4" s="7" t="s">
        <v>181</v>
      </c>
    </row>
    <row r="5" customFormat="false" ht="23.85" hidden="false" customHeight="false" outlineLevel="0" collapsed="false">
      <c r="A5" s="6" t="n">
        <v>3</v>
      </c>
      <c r="B5" s="8" t="s">
        <v>182</v>
      </c>
      <c r="C5" s="14" t="s">
        <v>79</v>
      </c>
      <c r="D5" s="7" t="s">
        <v>183</v>
      </c>
    </row>
    <row r="6" customFormat="false" ht="23.85" hidden="false" customHeight="false" outlineLevel="0" collapsed="false">
      <c r="A6" s="6" t="n">
        <v>4</v>
      </c>
      <c r="B6" s="8" t="s">
        <v>184</v>
      </c>
      <c r="C6" s="11" t="s">
        <v>47</v>
      </c>
      <c r="D6" s="7" t="s">
        <v>185</v>
      </c>
    </row>
    <row r="7" customFormat="false" ht="23.85" hidden="false" customHeight="false" outlineLevel="0" collapsed="false">
      <c r="A7" s="6" t="n">
        <v>5</v>
      </c>
      <c r="B7" s="8" t="s">
        <v>186</v>
      </c>
      <c r="C7" s="11" t="s">
        <v>47</v>
      </c>
      <c r="D7" s="7" t="s">
        <v>187</v>
      </c>
    </row>
    <row r="8" customFormat="false" ht="23.85" hidden="false" customHeight="false" outlineLevel="0" collapsed="false">
      <c r="A8" s="6" t="n">
        <v>6</v>
      </c>
      <c r="B8" s="8" t="s">
        <v>95</v>
      </c>
      <c r="C8" s="11" t="s">
        <v>47</v>
      </c>
      <c r="D8" s="7" t="s">
        <v>188</v>
      </c>
    </row>
    <row r="9" customFormat="false" ht="23.85" hidden="false" customHeight="false" outlineLevel="0" collapsed="false">
      <c r="A9" s="6" t="n">
        <v>7</v>
      </c>
      <c r="B9" s="8" t="s">
        <v>189</v>
      </c>
      <c r="C9" s="11" t="s">
        <v>47</v>
      </c>
      <c r="D9" s="7" t="s">
        <v>190</v>
      </c>
    </row>
    <row r="10" customFormat="false" ht="15" hidden="false" customHeight="false" outlineLevel="0" collapsed="false">
      <c r="A10" s="6" t="n">
        <v>8</v>
      </c>
      <c r="B10" s="8" t="s">
        <v>191</v>
      </c>
      <c r="C10" s="13" t="s">
        <v>62</v>
      </c>
      <c r="D10" s="7" t="s">
        <v>192</v>
      </c>
    </row>
    <row r="11" customFormat="false" ht="15" hidden="false" customHeight="false" outlineLevel="0" collapsed="false">
      <c r="A11" s="6" t="n">
        <v>9</v>
      </c>
      <c r="B11" s="8" t="s">
        <v>193</v>
      </c>
      <c r="C11" s="13" t="s">
        <v>62</v>
      </c>
      <c r="D11" s="7" t="s">
        <v>194</v>
      </c>
    </row>
    <row r="12" customFormat="false" ht="15" hidden="false" customHeight="false" outlineLevel="0" collapsed="false">
      <c r="A12" s="6" t="n">
        <v>10</v>
      </c>
      <c r="B12" s="8" t="s">
        <v>195</v>
      </c>
      <c r="C12" s="13" t="s">
        <v>62</v>
      </c>
      <c r="D12" s="7" t="s">
        <v>196</v>
      </c>
    </row>
    <row r="14" customFormat="false" ht="15" hidden="false" customHeight="false" outlineLevel="0" collapsed="false">
      <c r="B14" s="3" t="s">
        <v>197</v>
      </c>
    </row>
    <row r="15" customFormat="false" ht="15" hidden="false" customHeight="false" outlineLevel="0" collapsed="false">
      <c r="B15" s="17" t="s">
        <v>198</v>
      </c>
      <c r="C15" s="18" t="n">
        <f aca="false">COUNTIF('Matrice Terrain &amp; Mobile'!$H:$H,"THEM-ONLY")</f>
        <v>7</v>
      </c>
    </row>
    <row r="16" customFormat="false" ht="15" hidden="false" customHeight="false" outlineLevel="0" collapsed="false">
      <c r="B16" s="17" t="s">
        <v>199</v>
      </c>
      <c r="C16" s="18" t="n">
        <f aca="false">COUNTIF('Matrice Terrain &amp; Mobile'!$H:$H,"US-ONLY")</f>
        <v>11</v>
      </c>
    </row>
    <row r="17" customFormat="false" ht="15" hidden="false" customHeight="false" outlineLevel="0" collapsed="false">
      <c r="B17" s="17" t="s">
        <v>200</v>
      </c>
      <c r="C17" s="18" t="n">
        <f aca="false">COUNTIF('Matrice Terrain &amp; Mobile'!$H:$H,"BOTH")</f>
        <v>12</v>
      </c>
    </row>
    <row r="18" customFormat="false" ht="15" hidden="false" customHeight="false" outlineLevel="0" collapsed="false">
      <c r="B18" s="17" t="s">
        <v>201</v>
      </c>
      <c r="C18" s="18" t="n">
        <f aca="false">COUNTIF('Matrice Terrain &amp; Mobile'!$H:$H,"À VÉRIFIER")</f>
        <v>5</v>
      </c>
    </row>
    <row r="19" customFormat="false" ht="15" hidden="false" customHeight="false" outlineLevel="0" collapsed="false">
      <c r="B19" s="17" t="s">
        <v>202</v>
      </c>
      <c r="C19" s="18" t="n">
        <f aca="false">COUNTIF('Matrice Terrain &amp; Mobile'!$I:$I,"P1")</f>
        <v>3</v>
      </c>
    </row>
    <row r="20" customFormat="false" ht="15" hidden="false" customHeight="false" outlineLevel="0" collapsed="false">
      <c r="B20" s="17" t="s">
        <v>203</v>
      </c>
      <c r="C20" s="18" t="n">
        <f aca="false">COUNTIF('Matrice Terrain &amp; Mobile'!$I:$I,"P2")</f>
        <v>5</v>
      </c>
    </row>
    <row r="21" customFormat="false" ht="15" hidden="false" customHeight="false" outlineLevel="0" collapsed="false">
      <c r="B21" s="17" t="s">
        <v>204</v>
      </c>
      <c r="C21" s="18" t="n">
        <f aca="false">COUNTIF('Matrice Terrain &amp; Mobile'!$I:$I,"P3")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2026-08-04T00:31:48Z</dcterms:created>
  <dc:creator>openpyxl</dc:creator>
  <dc:description/>
  <dc:language>en-US</dc:language>
  <cp:lastModifiedBy/>
  <dcterms:modified xsi:type="dcterms:W3CDTF">2026-08-04T00:31:49Z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